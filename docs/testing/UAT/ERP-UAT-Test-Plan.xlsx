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Summary" sheetId="2" state="visible" r:id="rId2"/>
    <sheet xmlns:r="http://schemas.openxmlformats.org/officeDocument/2006/relationships" name="IAM &amp; Access" sheetId="3" state="visible" r:id="rId3"/>
    <sheet xmlns:r="http://schemas.openxmlformats.org/officeDocument/2006/relationships" name="RBAC" sheetId="4" state="visible" r:id="rId4"/>
    <sheet xmlns:r="http://schemas.openxmlformats.org/officeDocument/2006/relationships" name="Platform – Documents" sheetId="5" state="visible" r:id="rId5"/>
    <sheet xmlns:r="http://schemas.openxmlformats.org/officeDocument/2006/relationships" name="Platform – Notifications" sheetId="6" state="visible" r:id="rId6"/>
    <sheet xmlns:r="http://schemas.openxmlformats.org/officeDocument/2006/relationships" name="Platform – Approvals" sheetId="7" state="visible" r:id="rId7"/>
    <sheet xmlns:r="http://schemas.openxmlformats.org/officeDocument/2006/relationships" name="Platform – Audit" sheetId="8" state="visible" r:id="rId8"/>
    <sheet xmlns:r="http://schemas.openxmlformats.org/officeDocument/2006/relationships" name="Conventions" sheetId="9" state="visible" r:id="rId9"/>
    <sheet xmlns:r="http://schemas.openxmlformats.org/officeDocument/2006/relationships" name="Masters – Parties" sheetId="10" state="visible" r:id="rId10"/>
    <sheet xmlns:r="http://schemas.openxmlformats.org/officeDocument/2006/relationships" name="Masters – Catalog" sheetId="11" state="visible" r:id="rId11"/>
    <sheet xmlns:r="http://schemas.openxmlformats.org/officeDocument/2006/relationships" name="Sales – Order to Cash" sheetId="12" state="visible" r:id="rId12"/>
    <sheet xmlns:r="http://schemas.openxmlformats.org/officeDocument/2006/relationships" name="Sales – Pricing" sheetId="13" state="visible" r:id="rId13"/>
    <sheet xmlns:r="http://schemas.openxmlformats.org/officeDocument/2006/relationships" name="POS" sheetId="14" state="visible" r:id="rId14"/>
    <sheet xmlns:r="http://schemas.openxmlformats.org/officeDocument/2006/relationships" name="Procurement (P2P)" sheetId="15" state="visible" r:id="rId15"/>
    <sheet xmlns:r="http://schemas.openxmlformats.org/officeDocument/2006/relationships" name="Inventory" sheetId="16" state="visible" r:id="rId16"/>
    <sheet xmlns:r="http://schemas.openxmlformats.org/officeDocument/2006/relationships" name="Manufacturing" sheetId="17" state="visible" r:id="rId17"/>
    <sheet xmlns:r="http://schemas.openxmlformats.org/officeDocument/2006/relationships" name="General Ledger" sheetId="18" state="visible" r:id="rId18"/>
    <sheet xmlns:r="http://schemas.openxmlformats.org/officeDocument/2006/relationships" name="Accounts Receivable" sheetId="19" state="visible" r:id="rId19"/>
    <sheet xmlns:r="http://schemas.openxmlformats.org/officeDocument/2006/relationships" name="Accounts Payable" sheetId="20" state="visible" r:id="rId20"/>
    <sheet xmlns:r="http://schemas.openxmlformats.org/officeDocument/2006/relationships" name="Cash &amp; Bank" sheetId="21" state="visible" r:id="rId21"/>
    <sheet xmlns:r="http://schemas.openxmlformats.org/officeDocument/2006/relationships" name="Tax (VAT-WHT)" sheetId="22" state="visible" r:id="rId22"/>
    <sheet xmlns:r="http://schemas.openxmlformats.org/officeDocument/2006/relationships" name="FX &amp; Multicurrency" sheetId="23" state="visible" r:id="rId23"/>
    <sheet xmlns:r="http://schemas.openxmlformats.org/officeDocument/2006/relationships" name="Reporting &amp; BI" sheetId="24" state="visible" r:id="rId24"/>
    <sheet xmlns:r="http://schemas.openxmlformats.org/officeDocument/2006/relationships" name="Fixed Assets" sheetId="25" state="visible" r:id="rId25"/>
    <sheet xmlns:r="http://schemas.openxmlformats.org/officeDocument/2006/relationships" name="Budgeting" sheetId="26" state="visible" r:id="rId26"/>
    <sheet xmlns:r="http://schemas.openxmlformats.org/officeDocument/2006/relationships" name="HR &amp; Payroll" sheetId="27" state="visible" r:id="rId27"/>
    <sheet xmlns:r="http://schemas.openxmlformats.org/officeDocument/2006/relationships" name="CRM" sheetId="28" state="visible" r:id="rId28"/>
    <sheet xmlns:r="http://schemas.openxmlformats.org/officeDocument/2006/relationships" name="Projects" sheetId="29" state="visible" r:id="rId29"/>
  </sheets>
  <definedNames>
    <definedName name="_xlnm._FilterDatabase" localSheetId="2" hidden="1">'IAM &amp; Access'!$A$2:$Q$49</definedName>
    <definedName name="_xlnm._FilterDatabase" localSheetId="3" hidden="1">'RBAC'!$A$2:$Q$22</definedName>
    <definedName name="_xlnm._FilterDatabase" localSheetId="4" hidden="1">'Platform – Documents'!$A$2:$Q$13</definedName>
    <definedName name="_xlnm._FilterDatabase" localSheetId="5" hidden="1">'Platform – Notifications'!$A$2:$Q$9</definedName>
    <definedName name="_xlnm._FilterDatabase" localSheetId="6" hidden="1">'Platform – Approvals'!$A$2:$Q$19</definedName>
    <definedName name="_xlnm._FilterDatabase" localSheetId="7" hidden="1">'Platform – Audit'!$A$2:$Q$8</definedName>
    <definedName name="_xlnm._FilterDatabase" localSheetId="8" hidden="1">'Conventions'!$A$2:$Q$33</definedName>
    <definedName name="_xlnm._FilterDatabase" localSheetId="9" hidden="1">'Masters – Parties'!$A$2:$Q$26</definedName>
    <definedName name="_xlnm._FilterDatabase" localSheetId="10" hidden="1">'Masters – Catalog'!$A$2:$Q$22</definedName>
    <definedName name="_xlnm._FilterDatabase" localSheetId="11" hidden="1">'Sales – Order to Cash'!$A$2:$Q$45</definedName>
    <definedName name="_xlnm._FilterDatabase" localSheetId="12" hidden="1">'Sales – Pricing'!$A$2:$Q$20</definedName>
    <definedName name="_xlnm._FilterDatabase" localSheetId="13" hidden="1">'POS'!$A$2:$Q$25</definedName>
    <definedName name="_xlnm._FilterDatabase" localSheetId="14" hidden="1">'Procurement (P2P)'!$A$2:$Q$43</definedName>
    <definedName name="_xlnm._FilterDatabase" localSheetId="15" hidden="1">'Inventory'!$A$2:$Q$42</definedName>
    <definedName name="_xlnm._FilterDatabase" localSheetId="16" hidden="1">'Manufacturing'!$A$2:$Q$40</definedName>
    <definedName name="_xlnm._FilterDatabase" localSheetId="17" hidden="1">'General Ledger'!$A$2:$Q$37</definedName>
    <definedName name="_xlnm._FilterDatabase" localSheetId="18" hidden="1">'Accounts Receivable'!$A$2:$Q$25</definedName>
    <definedName name="_xlnm._FilterDatabase" localSheetId="19" hidden="1">'Accounts Payable'!$A$2:$Q$22</definedName>
    <definedName name="_xlnm._FilterDatabase" localSheetId="20" hidden="1">'Cash &amp; Bank'!$A$2:$Q$29</definedName>
    <definedName name="_xlnm._FilterDatabase" localSheetId="21" hidden="1">'Tax (VAT-WHT)'!$A$2:$Q$31</definedName>
    <definedName name="_xlnm._FilterDatabase" localSheetId="22" hidden="1">'FX &amp; Multicurrency'!$A$2:$Q$21</definedName>
    <definedName name="_xlnm._FilterDatabase" localSheetId="23" hidden="1">'Reporting &amp; BI'!$A$2:$Q$25</definedName>
    <definedName name="_xlnm._FilterDatabase" localSheetId="24" hidden="1">'Fixed Assets'!$A$2:$Q$22</definedName>
    <definedName name="_xlnm._FilterDatabase" localSheetId="25" hidden="1">'Budgeting'!$A$2:$Q$23</definedName>
    <definedName name="_xlnm._FilterDatabase" localSheetId="26" hidden="1">'HR &amp; Payroll'!$A$2:$Q$39</definedName>
    <definedName name="_xlnm._FilterDatabase" localSheetId="27" hidden="1">'CRM'!$A$2:$Q$32</definedName>
    <definedName name="_xlnm._FilterDatabase" localSheetId="28" hidden="1">'Projects'!$A$2:$Q$28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8"/>
    </font>
    <font>
      <b val="1"/>
    </font>
    <font>
      <b val="1"/>
      <color rgb="00FFFFFF"/>
      <sz val="13"/>
    </font>
    <font>
      <b val="1"/>
      <color rgb="00FFFFFF"/>
    </font>
    <font>
      <b val="1"/>
      <sz val="9"/>
    </font>
    <font>
      <b val="1"/>
      <color rgb="00FFFFFF"/>
      <sz val="15"/>
    </font>
  </fonts>
  <fills count="6">
    <fill>
      <patternFill/>
    </fill>
    <fill>
      <patternFill patternType="gray125"/>
    </fill>
    <fill>
      <patternFill patternType="solid">
        <fgColor rgb="001F3864"/>
      </patternFill>
    </fill>
    <fill>
      <patternFill patternType="solid">
        <fgColor rgb="002E5496"/>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6" fillId="2" borderId="0" applyAlignment="1" pivotButton="0" quotePrefix="0" xfId="0">
      <alignment horizontal="center" vertical="center"/>
    </xf>
    <xf numFmtId="0" fontId="4" fillId="3" borderId="1" applyAlignment="1" pivotButton="0" quotePrefix="0" xfId="0">
      <alignment horizontal="center"/>
    </xf>
    <xf numFmtId="0" fontId="0" fillId="0" borderId="1" pivotButton="0" quotePrefix="0" xfId="0"/>
    <xf numFmtId="0" fontId="0" fillId="0" borderId="1" applyAlignment="1" pivotButton="0" quotePrefix="0" xfId="0">
      <alignment horizontal="center" vertical="top"/>
    </xf>
    <xf numFmtId="9" fontId="0" fillId="0" borderId="1" applyAlignment="1" pivotButton="0" quotePrefix="0" xfId="0">
      <alignment horizontal="center" vertical="top"/>
    </xf>
    <xf numFmtId="0" fontId="2" fillId="5" borderId="1" pivotButton="0" quotePrefix="0" xfId="0"/>
    <xf numFmtId="0" fontId="2" fillId="5" borderId="1" applyAlignment="1" pivotButton="0" quotePrefix="0" xfId="0">
      <alignment horizontal="center" vertical="top"/>
    </xf>
    <xf numFmtId="9" fontId="2" fillId="5" borderId="1" applyAlignment="1" pivotButton="0" quotePrefix="0" xfId="0">
      <alignment horizontal="center" vertical="top"/>
    </xf>
    <xf numFmtId="0" fontId="3" fillId="2" borderId="0" applyAlignment="1" pivotButton="0" quotePrefix="0" xfId="0">
      <alignment vertical="center"/>
    </xf>
    <xf numFmtId="0" fontId="4" fillId="3" borderId="1" applyAlignment="1" pivotButton="0" quotePrefix="0" xfId="0">
      <alignment horizontal="center" vertical="center" wrapText="1"/>
    </xf>
    <xf numFmtId="0" fontId="5" fillId="4"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horizontal="center" vertical="top"/>
    </xf>
    <xf numFmtId="0" fontId="5"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RowHeight="15"/>
  <cols>
    <col width="3" customWidth="1" min="1" max="1"/>
    <col width="26" customWidth="1" min="2" max="2"/>
    <col width="100" customWidth="1" min="3" max="3"/>
  </cols>
  <sheetData>
    <row r="2" ht="30" customHeight="1">
      <c r="B2" s="1" t="inlineStr">
        <is>
          <t>ERP — User Acceptance Test (UAT) Plan</t>
        </is>
      </c>
    </row>
    <row r="4">
      <c r="B4" s="2" t="inlineStr">
        <is>
          <t>Purpose</t>
        </is>
      </c>
      <c r="C4" s="3" t="inlineStr">
        <is>
          <t>End-to-end UAT for the ERP, organised one tab per module. Each row is a manually-executable test case for the QA team. Fill in Actual Result, Status, Severity, Tester and Run Date as you go; the Summary tab tallies results live.</t>
        </is>
      </c>
    </row>
    <row r="5">
      <c r="B5" s="2" t="inlineStr">
        <is>
          <t>Total test cases</t>
        </is>
      </c>
      <c r="C5" s="3" t="inlineStr">
        <is>
          <t>696</t>
        </is>
      </c>
    </row>
    <row r="6">
      <c r="B6" s="2" t="inlineStr">
        <is>
          <t>Modules / tabs</t>
        </is>
      </c>
      <c r="C6" s="3" t="inlineStr">
        <is>
          <t>27</t>
        </is>
      </c>
    </row>
    <row r="7">
      <c r="B7" s="2" t="inlineStr">
        <is>
          <t>Generated</t>
        </is>
      </c>
      <c r="C7" s="3" t="inlineStr">
        <is>
          <t>2026-06-27</t>
        </is>
      </c>
    </row>
    <row r="8">
      <c r="B8" s="2" t="inlineStr">
        <is>
          <t>QA environment</t>
        </is>
      </c>
      <c r="C8" s="3" t="inlineStr">
        <is>
          <t>https://16.170.11.41/  (QA stack; data is durable — do not expect a clean DB)</t>
        </is>
      </c>
    </row>
    <row r="9">
      <c r="B9" s="2" t="inlineStr">
        <is>
          <t>Login</t>
        </is>
      </c>
      <c r="C9" s="3" t="inlineStr">
        <is>
          <t>Use a NON-root user with the relevant role for permission cases (root bypasses all permission checks and will mask RBAC defects). Switch branch via the top-bar branch picker where a test needs a specific branch.</t>
        </is>
      </c>
    </row>
    <row r="10">
      <c r="B10" s="4" t="n"/>
    </row>
    <row r="11">
      <c r="B11" s="2" t="inlineStr">
        <is>
          <t>How to run a case</t>
        </is>
      </c>
      <c r="C11" s="3" t="inlineStr">
        <is>
          <t>1) Read Preconditions and set them up.  2) Follow Steps in the app.  3) Compare what you see to Expected Result.  4) Put Pass/Fail/Blocked in Status; if Fail, write what happened in Actual Result, set Severity, and log it on the 'Defects Log' tab.</t>
        </is>
      </c>
    </row>
    <row r="12">
      <c r="B12" s="4" t="n"/>
    </row>
    <row r="13">
      <c r="B13" s="2" t="inlineStr">
        <is>
          <t>Status values</t>
        </is>
      </c>
      <c r="C13" s="3" t="inlineStr">
        <is>
          <t>Not Run (default) · Pass · Fail · Blocked · N/A</t>
        </is>
      </c>
    </row>
    <row r="14">
      <c r="B14" s="2" t="inlineStr">
        <is>
          <t>Severity (for fails)</t>
        </is>
      </c>
      <c r="C14" s="3" t="inlineStr">
        <is>
          <t>Critical (blocks a core flow / data loss) · High · Medium · Low (cosmetic)</t>
        </is>
      </c>
    </row>
    <row r="15">
      <c r="B15" s="2" t="inlineStr">
        <is>
          <t>Type</t>
        </is>
      </c>
      <c r="C15" s="3" t="inlineStr">
        <is>
          <t>Positive (happy path) · Negative (rejection/validation) · Permission (RBAC) · Edge</t>
        </is>
      </c>
    </row>
    <row r="16">
      <c r="B16" s="2" t="inlineStr">
        <is>
          <t>Priority</t>
        </is>
      </c>
      <c r="C16" s="3" t="inlineStr">
        <is>
          <t>High = must pass for sign-off · Medium · Low</t>
        </is>
      </c>
    </row>
    <row r="17">
      <c r="B17" s="4" t="n"/>
    </row>
    <row r="18">
      <c r="B18" s="2" t="inlineStr">
        <is>
          <t>Column guide</t>
        </is>
      </c>
      <c r="C18" s="3" t="inlineStr">
        <is>
          <t>ID = stable case id · Area = feature · Route = where in the app · Permission = the RBAC code involved. 'Expected Result' is the pass criterion.</t>
        </is>
      </c>
    </row>
    <row r="19">
      <c r="B19" s="2" t="inlineStr">
        <is>
          <t>Note</t>
        </is>
      </c>
      <c r="C19" s="3" t="inlineStr">
        <is>
          <t>Some cases intentionally document a KNOWN issue (look for 'DEFECT'/'known issue' in the scenario or expected text) — verify the stated current behaviour.</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showGridLines="0" workbookViewId="0">
      <pane ySplit="2" topLeftCell="A3" activePane="bottomLeft" state="frozen"/>
      <selection pane="bottomLeft" activeCell="A1" sqref="A1"/>
    </sheetView>
  </sheetViews>
  <sheetFormatPr baseColWidth="8" defaultRowHeight="15"/>
  <cols>
    <col width="34" customWidth="1" min="1" max="1"/>
    <col width="8" customWidth="1" min="2" max="2"/>
    <col width="9" customWidth="1" min="3" max="3"/>
    <col width="8" customWidth="1" min="4" max="4"/>
    <col width="8" customWidth="1" min="5" max="5"/>
    <col width="9" customWidth="1" min="6" max="6"/>
    <col width="7" customWidth="1" min="7" max="7"/>
    <col width="9" customWidth="1" min="8" max="8"/>
  </cols>
  <sheetData>
    <row r="1" ht="26" customHeight="1">
      <c r="A1" s="5" t="inlineStr">
        <is>
          <t>UAT Summary Dashboard</t>
        </is>
      </c>
    </row>
    <row r="2">
      <c r="A2" s="6" t="inlineStr">
        <is>
          <t>Module</t>
        </is>
      </c>
      <c r="B2" s="6" t="inlineStr">
        <is>
          <t>Cases</t>
        </is>
      </c>
      <c r="C2" s="6" t="inlineStr">
        <is>
          <t>Not Run</t>
        </is>
      </c>
      <c r="D2" s="6" t="inlineStr">
        <is>
          <t>Pass</t>
        </is>
      </c>
      <c r="E2" s="6" t="inlineStr">
        <is>
          <t>Fail</t>
        </is>
      </c>
      <c r="F2" s="6" t="inlineStr">
        <is>
          <t>Blocked</t>
        </is>
      </c>
      <c r="G2" s="6" t="inlineStr">
        <is>
          <t>N/A</t>
        </is>
      </c>
      <c r="H2" s="6" t="inlineStr">
        <is>
          <t>Pass %</t>
        </is>
      </c>
    </row>
    <row r="3">
      <c r="A3" s="7" t="inlineStr">
        <is>
          <t>IAM &amp; Access</t>
        </is>
      </c>
      <c r="B3" s="8" t="n">
        <v>47</v>
      </c>
      <c r="C3" s="8">
        <f>COUNTIF('IAM &amp; Access'!$M$3:$M$100000,"Not Run")</f>
        <v/>
      </c>
      <c r="D3" s="8">
        <f>COUNTIF('IAM &amp; Access'!$M$3:$M$100000,"Pass")</f>
        <v/>
      </c>
      <c r="E3" s="8">
        <f>COUNTIF('IAM &amp; Access'!$M$3:$M$100000,"Fail")</f>
        <v/>
      </c>
      <c r="F3" s="8">
        <f>COUNTIF('IAM &amp; Access'!$M$3:$M$100000,"Blocked")</f>
        <v/>
      </c>
      <c r="G3" s="8">
        <f>COUNTIF('IAM &amp; Access'!$M$3:$M$100000,"N/A")</f>
        <v/>
      </c>
      <c r="H3" s="9">
        <f>IFERROR(D3/(D3+E3),"")</f>
        <v/>
      </c>
    </row>
    <row r="4">
      <c r="A4" s="7" t="inlineStr">
        <is>
          <t>RBAC</t>
        </is>
      </c>
      <c r="B4" s="8" t="n">
        <v>20</v>
      </c>
      <c r="C4" s="8">
        <f>COUNTIF('RBAC'!$M$3:$M$100000,"Not Run")</f>
        <v/>
      </c>
      <c r="D4" s="8">
        <f>COUNTIF('RBAC'!$M$3:$M$100000,"Pass")</f>
        <v/>
      </c>
      <c r="E4" s="8">
        <f>COUNTIF('RBAC'!$M$3:$M$100000,"Fail")</f>
        <v/>
      </c>
      <c r="F4" s="8">
        <f>COUNTIF('RBAC'!$M$3:$M$100000,"Blocked")</f>
        <v/>
      </c>
      <c r="G4" s="8">
        <f>COUNTIF('RBAC'!$M$3:$M$100000,"N/A")</f>
        <v/>
      </c>
      <c r="H4" s="9">
        <f>IFERROR(D4/(D4+E4),"")</f>
        <v/>
      </c>
    </row>
    <row r="5">
      <c r="A5" s="7" t="inlineStr">
        <is>
          <t>Platform – Documents</t>
        </is>
      </c>
      <c r="B5" s="8" t="n">
        <v>11</v>
      </c>
      <c r="C5" s="8">
        <f>COUNTIF('Platform – Documents'!$M$3:$M$100000,"Not Run")</f>
        <v/>
      </c>
      <c r="D5" s="8">
        <f>COUNTIF('Platform – Documents'!$M$3:$M$100000,"Pass")</f>
        <v/>
      </c>
      <c r="E5" s="8">
        <f>COUNTIF('Platform – Documents'!$M$3:$M$100000,"Fail")</f>
        <v/>
      </c>
      <c r="F5" s="8">
        <f>COUNTIF('Platform – Documents'!$M$3:$M$100000,"Blocked")</f>
        <v/>
      </c>
      <c r="G5" s="8">
        <f>COUNTIF('Platform – Documents'!$M$3:$M$100000,"N/A")</f>
        <v/>
      </c>
      <c r="H5" s="9">
        <f>IFERROR(D5/(D5+E5),"")</f>
        <v/>
      </c>
    </row>
    <row r="6">
      <c r="A6" s="7" t="inlineStr">
        <is>
          <t>Platform – Notifications</t>
        </is>
      </c>
      <c r="B6" s="8" t="n">
        <v>7</v>
      </c>
      <c r="C6" s="8">
        <f>COUNTIF('Platform – Notifications'!$M$3:$M$100000,"Not Run")</f>
        <v/>
      </c>
      <c r="D6" s="8">
        <f>COUNTIF('Platform – Notifications'!$M$3:$M$100000,"Pass")</f>
        <v/>
      </c>
      <c r="E6" s="8">
        <f>COUNTIF('Platform – Notifications'!$M$3:$M$100000,"Fail")</f>
        <v/>
      </c>
      <c r="F6" s="8">
        <f>COUNTIF('Platform – Notifications'!$M$3:$M$100000,"Blocked")</f>
        <v/>
      </c>
      <c r="G6" s="8">
        <f>COUNTIF('Platform – Notifications'!$M$3:$M$100000,"N/A")</f>
        <v/>
      </c>
      <c r="H6" s="9">
        <f>IFERROR(D6/(D6+E6),"")</f>
        <v/>
      </c>
    </row>
    <row r="7">
      <c r="A7" s="7" t="inlineStr">
        <is>
          <t>Platform – Approvals</t>
        </is>
      </c>
      <c r="B7" s="8" t="n">
        <v>17</v>
      </c>
      <c r="C7" s="8">
        <f>COUNTIF('Platform – Approvals'!$M$3:$M$100000,"Not Run")</f>
        <v/>
      </c>
      <c r="D7" s="8">
        <f>COUNTIF('Platform – Approvals'!$M$3:$M$100000,"Pass")</f>
        <v/>
      </c>
      <c r="E7" s="8">
        <f>COUNTIF('Platform – Approvals'!$M$3:$M$100000,"Fail")</f>
        <v/>
      </c>
      <c r="F7" s="8">
        <f>COUNTIF('Platform – Approvals'!$M$3:$M$100000,"Blocked")</f>
        <v/>
      </c>
      <c r="G7" s="8">
        <f>COUNTIF('Platform – Approvals'!$M$3:$M$100000,"N/A")</f>
        <v/>
      </c>
      <c r="H7" s="9">
        <f>IFERROR(D7/(D7+E7),"")</f>
        <v/>
      </c>
    </row>
    <row r="8">
      <c r="A8" s="7" t="inlineStr">
        <is>
          <t>Platform – Audit</t>
        </is>
      </c>
      <c r="B8" s="8" t="n">
        <v>6</v>
      </c>
      <c r="C8" s="8">
        <f>COUNTIF('Platform – Audit'!$M$3:$M$100000,"Not Run")</f>
        <v/>
      </c>
      <c r="D8" s="8">
        <f>COUNTIF('Platform – Audit'!$M$3:$M$100000,"Pass")</f>
        <v/>
      </c>
      <c r="E8" s="8">
        <f>COUNTIF('Platform – Audit'!$M$3:$M$100000,"Fail")</f>
        <v/>
      </c>
      <c r="F8" s="8">
        <f>COUNTIF('Platform – Audit'!$M$3:$M$100000,"Blocked")</f>
        <v/>
      </c>
      <c r="G8" s="8">
        <f>COUNTIF('Platform – Audit'!$M$3:$M$100000,"N/A")</f>
        <v/>
      </c>
      <c r="H8" s="9">
        <f>IFERROR(D8/(D8+E8),"")</f>
        <v/>
      </c>
    </row>
    <row r="9">
      <c r="A9" s="7" t="inlineStr">
        <is>
          <t>Conventions</t>
        </is>
      </c>
      <c r="B9" s="8" t="n">
        <v>31</v>
      </c>
      <c r="C9" s="8">
        <f>COUNTIF('Conventions'!$M$3:$M$100000,"Not Run")</f>
        <v/>
      </c>
      <c r="D9" s="8">
        <f>COUNTIF('Conventions'!$M$3:$M$100000,"Pass")</f>
        <v/>
      </c>
      <c r="E9" s="8">
        <f>COUNTIF('Conventions'!$M$3:$M$100000,"Fail")</f>
        <v/>
      </c>
      <c r="F9" s="8">
        <f>COUNTIF('Conventions'!$M$3:$M$100000,"Blocked")</f>
        <v/>
      </c>
      <c r="G9" s="8">
        <f>COUNTIF('Conventions'!$M$3:$M$100000,"N/A")</f>
        <v/>
      </c>
      <c r="H9" s="9">
        <f>IFERROR(D9/(D9+E9),"")</f>
        <v/>
      </c>
    </row>
    <row r="10">
      <c r="A10" s="7" t="inlineStr">
        <is>
          <t>Masters – Parties</t>
        </is>
      </c>
      <c r="B10" s="8" t="n">
        <v>24</v>
      </c>
      <c r="C10" s="8">
        <f>COUNTIF('Masters – Parties'!$M$3:$M$100000,"Not Run")</f>
        <v/>
      </c>
      <c r="D10" s="8">
        <f>COUNTIF('Masters – Parties'!$M$3:$M$100000,"Pass")</f>
        <v/>
      </c>
      <c r="E10" s="8">
        <f>COUNTIF('Masters – Parties'!$M$3:$M$100000,"Fail")</f>
        <v/>
      </c>
      <c r="F10" s="8">
        <f>COUNTIF('Masters – Parties'!$M$3:$M$100000,"Blocked")</f>
        <v/>
      </c>
      <c r="G10" s="8">
        <f>COUNTIF('Masters – Parties'!$M$3:$M$100000,"N/A")</f>
        <v/>
      </c>
      <c r="H10" s="9">
        <f>IFERROR(D10/(D10+E10),"")</f>
        <v/>
      </c>
    </row>
    <row r="11">
      <c r="A11" s="7" t="inlineStr">
        <is>
          <t>Masters – Catalog</t>
        </is>
      </c>
      <c r="B11" s="8" t="n">
        <v>20</v>
      </c>
      <c r="C11" s="8">
        <f>COUNTIF('Masters – Catalog'!$M$3:$M$100000,"Not Run")</f>
        <v/>
      </c>
      <c r="D11" s="8">
        <f>COUNTIF('Masters – Catalog'!$M$3:$M$100000,"Pass")</f>
        <v/>
      </c>
      <c r="E11" s="8">
        <f>COUNTIF('Masters – Catalog'!$M$3:$M$100000,"Fail")</f>
        <v/>
      </c>
      <c r="F11" s="8">
        <f>COUNTIF('Masters – Catalog'!$M$3:$M$100000,"Blocked")</f>
        <v/>
      </c>
      <c r="G11" s="8">
        <f>COUNTIF('Masters – Catalog'!$M$3:$M$100000,"N/A")</f>
        <v/>
      </c>
      <c r="H11" s="9">
        <f>IFERROR(D11/(D11+E11),"")</f>
        <v/>
      </c>
    </row>
    <row r="12">
      <c r="A12" s="7" t="inlineStr">
        <is>
          <t>Sales – Order to Cash</t>
        </is>
      </c>
      <c r="B12" s="8" t="n">
        <v>43</v>
      </c>
      <c r="C12" s="8">
        <f>COUNTIF('Sales – Order to Cash'!$M$3:$M$100000,"Not Run")</f>
        <v/>
      </c>
      <c r="D12" s="8">
        <f>COUNTIF('Sales – Order to Cash'!$M$3:$M$100000,"Pass")</f>
        <v/>
      </c>
      <c r="E12" s="8">
        <f>COUNTIF('Sales – Order to Cash'!$M$3:$M$100000,"Fail")</f>
        <v/>
      </c>
      <c r="F12" s="8">
        <f>COUNTIF('Sales – Order to Cash'!$M$3:$M$100000,"Blocked")</f>
        <v/>
      </c>
      <c r="G12" s="8">
        <f>COUNTIF('Sales – Order to Cash'!$M$3:$M$100000,"N/A")</f>
        <v/>
      </c>
      <c r="H12" s="9">
        <f>IFERROR(D12/(D12+E12),"")</f>
        <v/>
      </c>
    </row>
    <row r="13">
      <c r="A13" s="7" t="inlineStr">
        <is>
          <t>Sales – Pricing</t>
        </is>
      </c>
      <c r="B13" s="8" t="n">
        <v>18</v>
      </c>
      <c r="C13" s="8">
        <f>COUNTIF('Sales – Pricing'!$M$3:$M$100000,"Not Run")</f>
        <v/>
      </c>
      <c r="D13" s="8">
        <f>COUNTIF('Sales – Pricing'!$M$3:$M$100000,"Pass")</f>
        <v/>
      </c>
      <c r="E13" s="8">
        <f>COUNTIF('Sales – Pricing'!$M$3:$M$100000,"Fail")</f>
        <v/>
      </c>
      <c r="F13" s="8">
        <f>COUNTIF('Sales – Pricing'!$M$3:$M$100000,"Blocked")</f>
        <v/>
      </c>
      <c r="G13" s="8">
        <f>COUNTIF('Sales – Pricing'!$M$3:$M$100000,"N/A")</f>
        <v/>
      </c>
      <c r="H13" s="9">
        <f>IFERROR(D13/(D13+E13),"")</f>
        <v/>
      </c>
    </row>
    <row r="14">
      <c r="A14" s="7" t="inlineStr">
        <is>
          <t>POS</t>
        </is>
      </c>
      <c r="B14" s="8" t="n">
        <v>23</v>
      </c>
      <c r="C14" s="8">
        <f>COUNTIF('POS'!$M$3:$M$100000,"Not Run")</f>
        <v/>
      </c>
      <c r="D14" s="8">
        <f>COUNTIF('POS'!$M$3:$M$100000,"Pass")</f>
        <v/>
      </c>
      <c r="E14" s="8">
        <f>COUNTIF('POS'!$M$3:$M$100000,"Fail")</f>
        <v/>
      </c>
      <c r="F14" s="8">
        <f>COUNTIF('POS'!$M$3:$M$100000,"Blocked")</f>
        <v/>
      </c>
      <c r="G14" s="8">
        <f>COUNTIF('POS'!$M$3:$M$100000,"N/A")</f>
        <v/>
      </c>
      <c r="H14" s="9">
        <f>IFERROR(D14/(D14+E14),"")</f>
        <v/>
      </c>
    </row>
    <row r="15">
      <c r="A15" s="7" t="inlineStr">
        <is>
          <t>Procurement (P2P)</t>
        </is>
      </c>
      <c r="B15" s="8" t="n">
        <v>41</v>
      </c>
      <c r="C15" s="8">
        <f>COUNTIF('Procurement (P2P)'!$M$3:$M$100000,"Not Run")</f>
        <v/>
      </c>
      <c r="D15" s="8">
        <f>COUNTIF('Procurement (P2P)'!$M$3:$M$100000,"Pass")</f>
        <v/>
      </c>
      <c r="E15" s="8">
        <f>COUNTIF('Procurement (P2P)'!$M$3:$M$100000,"Fail")</f>
        <v/>
      </c>
      <c r="F15" s="8">
        <f>COUNTIF('Procurement (P2P)'!$M$3:$M$100000,"Blocked")</f>
        <v/>
      </c>
      <c r="G15" s="8">
        <f>COUNTIF('Procurement (P2P)'!$M$3:$M$100000,"N/A")</f>
        <v/>
      </c>
      <c r="H15" s="9">
        <f>IFERROR(D15/(D15+E15),"")</f>
        <v/>
      </c>
    </row>
    <row r="16">
      <c r="A16" s="7" t="inlineStr">
        <is>
          <t>Inventory</t>
        </is>
      </c>
      <c r="B16" s="8" t="n">
        <v>40</v>
      </c>
      <c r="C16" s="8">
        <f>COUNTIF('Inventory'!$M$3:$M$100000,"Not Run")</f>
        <v/>
      </c>
      <c r="D16" s="8">
        <f>COUNTIF('Inventory'!$M$3:$M$100000,"Pass")</f>
        <v/>
      </c>
      <c r="E16" s="8">
        <f>COUNTIF('Inventory'!$M$3:$M$100000,"Fail")</f>
        <v/>
      </c>
      <c r="F16" s="8">
        <f>COUNTIF('Inventory'!$M$3:$M$100000,"Blocked")</f>
        <v/>
      </c>
      <c r="G16" s="8">
        <f>COUNTIF('Inventory'!$M$3:$M$100000,"N/A")</f>
        <v/>
      </c>
      <c r="H16" s="9">
        <f>IFERROR(D16/(D16+E16),"")</f>
        <v/>
      </c>
    </row>
    <row r="17">
      <c r="A17" s="7" t="inlineStr">
        <is>
          <t>Manufacturing</t>
        </is>
      </c>
      <c r="B17" s="8" t="n">
        <v>38</v>
      </c>
      <c r="C17" s="8">
        <f>COUNTIF('Manufacturing'!$M$3:$M$100000,"Not Run")</f>
        <v/>
      </c>
      <c r="D17" s="8">
        <f>COUNTIF('Manufacturing'!$M$3:$M$100000,"Pass")</f>
        <v/>
      </c>
      <c r="E17" s="8">
        <f>COUNTIF('Manufacturing'!$M$3:$M$100000,"Fail")</f>
        <v/>
      </c>
      <c r="F17" s="8">
        <f>COUNTIF('Manufacturing'!$M$3:$M$100000,"Blocked")</f>
        <v/>
      </c>
      <c r="G17" s="8">
        <f>COUNTIF('Manufacturing'!$M$3:$M$100000,"N/A")</f>
        <v/>
      </c>
      <c r="H17" s="9">
        <f>IFERROR(D17/(D17+E17),"")</f>
        <v/>
      </c>
    </row>
    <row r="18">
      <c r="A18" s="7" t="inlineStr">
        <is>
          <t>General Ledger</t>
        </is>
      </c>
      <c r="B18" s="8" t="n">
        <v>35</v>
      </c>
      <c r="C18" s="8">
        <f>COUNTIF('General Ledger'!$M$3:$M$100000,"Not Run")</f>
        <v/>
      </c>
      <c r="D18" s="8">
        <f>COUNTIF('General Ledger'!$M$3:$M$100000,"Pass")</f>
        <v/>
      </c>
      <c r="E18" s="8">
        <f>COUNTIF('General Ledger'!$M$3:$M$100000,"Fail")</f>
        <v/>
      </c>
      <c r="F18" s="8">
        <f>COUNTIF('General Ledger'!$M$3:$M$100000,"Blocked")</f>
        <v/>
      </c>
      <c r="G18" s="8">
        <f>COUNTIF('General Ledger'!$M$3:$M$100000,"N/A")</f>
        <v/>
      </c>
      <c r="H18" s="9">
        <f>IFERROR(D18/(D18+E18),"")</f>
        <v/>
      </c>
    </row>
    <row r="19">
      <c r="A19" s="7" t="inlineStr">
        <is>
          <t>Accounts Receivable</t>
        </is>
      </c>
      <c r="B19" s="8" t="n">
        <v>23</v>
      </c>
      <c r="C19" s="8">
        <f>COUNTIF('Accounts Receivable'!$M$3:$M$100000,"Not Run")</f>
        <v/>
      </c>
      <c r="D19" s="8">
        <f>COUNTIF('Accounts Receivable'!$M$3:$M$100000,"Pass")</f>
        <v/>
      </c>
      <c r="E19" s="8">
        <f>COUNTIF('Accounts Receivable'!$M$3:$M$100000,"Fail")</f>
        <v/>
      </c>
      <c r="F19" s="8">
        <f>COUNTIF('Accounts Receivable'!$M$3:$M$100000,"Blocked")</f>
        <v/>
      </c>
      <c r="G19" s="8">
        <f>COUNTIF('Accounts Receivable'!$M$3:$M$100000,"N/A")</f>
        <v/>
      </c>
      <c r="H19" s="9">
        <f>IFERROR(D19/(D19+E19),"")</f>
        <v/>
      </c>
    </row>
    <row r="20">
      <c r="A20" s="7" t="inlineStr">
        <is>
          <t>Accounts Payable</t>
        </is>
      </c>
      <c r="B20" s="8" t="n">
        <v>20</v>
      </c>
      <c r="C20" s="8">
        <f>COUNTIF('Accounts Payable'!$M$3:$M$100000,"Not Run")</f>
        <v/>
      </c>
      <c r="D20" s="8">
        <f>COUNTIF('Accounts Payable'!$M$3:$M$100000,"Pass")</f>
        <v/>
      </c>
      <c r="E20" s="8">
        <f>COUNTIF('Accounts Payable'!$M$3:$M$100000,"Fail")</f>
        <v/>
      </c>
      <c r="F20" s="8">
        <f>COUNTIF('Accounts Payable'!$M$3:$M$100000,"Blocked")</f>
        <v/>
      </c>
      <c r="G20" s="8">
        <f>COUNTIF('Accounts Payable'!$M$3:$M$100000,"N/A")</f>
        <v/>
      </c>
      <c r="H20" s="9">
        <f>IFERROR(D20/(D20+E20),"")</f>
        <v/>
      </c>
    </row>
    <row r="21">
      <c r="A21" s="7" t="inlineStr">
        <is>
          <t>Cash &amp; Bank</t>
        </is>
      </c>
      <c r="B21" s="8" t="n">
        <v>27</v>
      </c>
      <c r="C21" s="8">
        <f>COUNTIF('Cash &amp; Bank'!$M$3:$M$100000,"Not Run")</f>
        <v/>
      </c>
      <c r="D21" s="8">
        <f>COUNTIF('Cash &amp; Bank'!$M$3:$M$100000,"Pass")</f>
        <v/>
      </c>
      <c r="E21" s="8">
        <f>COUNTIF('Cash &amp; Bank'!$M$3:$M$100000,"Fail")</f>
        <v/>
      </c>
      <c r="F21" s="8">
        <f>COUNTIF('Cash &amp; Bank'!$M$3:$M$100000,"Blocked")</f>
        <v/>
      </c>
      <c r="G21" s="8">
        <f>COUNTIF('Cash &amp; Bank'!$M$3:$M$100000,"N/A")</f>
        <v/>
      </c>
      <c r="H21" s="9">
        <f>IFERROR(D21/(D21+E21),"")</f>
        <v/>
      </c>
    </row>
    <row r="22">
      <c r="A22" s="7" t="inlineStr">
        <is>
          <t>Tax (VAT/WHT)</t>
        </is>
      </c>
      <c r="B22" s="8" t="n">
        <v>29</v>
      </c>
      <c r="C22" s="8">
        <f>COUNTIF('Tax (VAT-WHT)'!$M$3:$M$100000,"Not Run")</f>
        <v/>
      </c>
      <c r="D22" s="8">
        <f>COUNTIF('Tax (VAT-WHT)'!$M$3:$M$100000,"Pass")</f>
        <v/>
      </c>
      <c r="E22" s="8">
        <f>COUNTIF('Tax (VAT-WHT)'!$M$3:$M$100000,"Fail")</f>
        <v/>
      </c>
      <c r="F22" s="8">
        <f>COUNTIF('Tax (VAT-WHT)'!$M$3:$M$100000,"Blocked")</f>
        <v/>
      </c>
      <c r="G22" s="8">
        <f>COUNTIF('Tax (VAT-WHT)'!$M$3:$M$100000,"N/A")</f>
        <v/>
      </c>
      <c r="H22" s="9">
        <f>IFERROR(D22/(D22+E22),"")</f>
        <v/>
      </c>
    </row>
    <row r="23">
      <c r="A23" s="7" t="inlineStr">
        <is>
          <t>FX &amp; Multicurrency</t>
        </is>
      </c>
      <c r="B23" s="8" t="n">
        <v>19</v>
      </c>
      <c r="C23" s="8">
        <f>COUNTIF('FX &amp; Multicurrency'!$M$3:$M$100000,"Not Run")</f>
        <v/>
      </c>
      <c r="D23" s="8">
        <f>COUNTIF('FX &amp; Multicurrency'!$M$3:$M$100000,"Pass")</f>
        <v/>
      </c>
      <c r="E23" s="8">
        <f>COUNTIF('FX &amp; Multicurrency'!$M$3:$M$100000,"Fail")</f>
        <v/>
      </c>
      <c r="F23" s="8">
        <f>COUNTIF('FX &amp; Multicurrency'!$M$3:$M$100000,"Blocked")</f>
        <v/>
      </c>
      <c r="G23" s="8">
        <f>COUNTIF('FX &amp; Multicurrency'!$M$3:$M$100000,"N/A")</f>
        <v/>
      </c>
      <c r="H23" s="9">
        <f>IFERROR(D23/(D23+E23),"")</f>
        <v/>
      </c>
    </row>
    <row r="24">
      <c r="A24" s="7" t="inlineStr">
        <is>
          <t>Reporting &amp; BI</t>
        </is>
      </c>
      <c r="B24" s="8" t="n">
        <v>23</v>
      </c>
      <c r="C24" s="8">
        <f>COUNTIF('Reporting &amp; BI'!$M$3:$M$100000,"Not Run")</f>
        <v/>
      </c>
      <c r="D24" s="8">
        <f>COUNTIF('Reporting &amp; BI'!$M$3:$M$100000,"Pass")</f>
        <v/>
      </c>
      <c r="E24" s="8">
        <f>COUNTIF('Reporting &amp; BI'!$M$3:$M$100000,"Fail")</f>
        <v/>
      </c>
      <c r="F24" s="8">
        <f>COUNTIF('Reporting &amp; BI'!$M$3:$M$100000,"Blocked")</f>
        <v/>
      </c>
      <c r="G24" s="8">
        <f>COUNTIF('Reporting &amp; BI'!$M$3:$M$100000,"N/A")</f>
        <v/>
      </c>
      <c r="H24" s="9">
        <f>IFERROR(D24/(D24+E24),"")</f>
        <v/>
      </c>
    </row>
    <row r="25">
      <c r="A25" s="7" t="inlineStr">
        <is>
          <t>Fixed Assets</t>
        </is>
      </c>
      <c r="B25" s="8" t="n">
        <v>20</v>
      </c>
      <c r="C25" s="8">
        <f>COUNTIF('Fixed Assets'!$M$3:$M$100000,"Not Run")</f>
        <v/>
      </c>
      <c r="D25" s="8">
        <f>COUNTIF('Fixed Assets'!$M$3:$M$100000,"Pass")</f>
        <v/>
      </c>
      <c r="E25" s="8">
        <f>COUNTIF('Fixed Assets'!$M$3:$M$100000,"Fail")</f>
        <v/>
      </c>
      <c r="F25" s="8">
        <f>COUNTIF('Fixed Assets'!$M$3:$M$100000,"Blocked")</f>
        <v/>
      </c>
      <c r="G25" s="8">
        <f>COUNTIF('Fixed Assets'!$M$3:$M$100000,"N/A")</f>
        <v/>
      </c>
      <c r="H25" s="9">
        <f>IFERROR(D25/(D25+E25),"")</f>
        <v/>
      </c>
    </row>
    <row r="26">
      <c r="A26" s="7" t="inlineStr">
        <is>
          <t>Budgeting</t>
        </is>
      </c>
      <c r="B26" s="8" t="n">
        <v>21</v>
      </c>
      <c r="C26" s="8">
        <f>COUNTIF('Budgeting'!$M$3:$M$100000,"Not Run")</f>
        <v/>
      </c>
      <c r="D26" s="8">
        <f>COUNTIF('Budgeting'!$M$3:$M$100000,"Pass")</f>
        <v/>
      </c>
      <c r="E26" s="8">
        <f>COUNTIF('Budgeting'!$M$3:$M$100000,"Fail")</f>
        <v/>
      </c>
      <c r="F26" s="8">
        <f>COUNTIF('Budgeting'!$M$3:$M$100000,"Blocked")</f>
        <v/>
      </c>
      <c r="G26" s="8">
        <f>COUNTIF('Budgeting'!$M$3:$M$100000,"N/A")</f>
        <v/>
      </c>
      <c r="H26" s="9">
        <f>IFERROR(D26/(D26+E26),"")</f>
        <v/>
      </c>
    </row>
    <row r="27">
      <c r="A27" s="7" t="inlineStr">
        <is>
          <t>HR &amp; Payroll</t>
        </is>
      </c>
      <c r="B27" s="8" t="n">
        <v>37</v>
      </c>
      <c r="C27" s="8">
        <f>COUNTIF('HR &amp; Payroll'!$M$3:$M$100000,"Not Run")</f>
        <v/>
      </c>
      <c r="D27" s="8">
        <f>COUNTIF('HR &amp; Payroll'!$M$3:$M$100000,"Pass")</f>
        <v/>
      </c>
      <c r="E27" s="8">
        <f>COUNTIF('HR &amp; Payroll'!$M$3:$M$100000,"Fail")</f>
        <v/>
      </c>
      <c r="F27" s="8">
        <f>COUNTIF('HR &amp; Payroll'!$M$3:$M$100000,"Blocked")</f>
        <v/>
      </c>
      <c r="G27" s="8">
        <f>COUNTIF('HR &amp; Payroll'!$M$3:$M$100000,"N/A")</f>
        <v/>
      </c>
      <c r="H27" s="9">
        <f>IFERROR(D27/(D27+E27),"")</f>
        <v/>
      </c>
    </row>
    <row r="28">
      <c r="A28" s="7" t="inlineStr">
        <is>
          <t>CRM</t>
        </is>
      </c>
      <c r="B28" s="8" t="n">
        <v>30</v>
      </c>
      <c r="C28" s="8">
        <f>COUNTIF('CRM'!$M$3:$M$100000,"Not Run")</f>
        <v/>
      </c>
      <c r="D28" s="8">
        <f>COUNTIF('CRM'!$M$3:$M$100000,"Pass")</f>
        <v/>
      </c>
      <c r="E28" s="8">
        <f>COUNTIF('CRM'!$M$3:$M$100000,"Fail")</f>
        <v/>
      </c>
      <c r="F28" s="8">
        <f>COUNTIF('CRM'!$M$3:$M$100000,"Blocked")</f>
        <v/>
      </c>
      <c r="G28" s="8">
        <f>COUNTIF('CRM'!$M$3:$M$100000,"N/A")</f>
        <v/>
      </c>
      <c r="H28" s="9">
        <f>IFERROR(D28/(D28+E28),"")</f>
        <v/>
      </c>
    </row>
    <row r="29">
      <c r="A29" s="7" t="inlineStr">
        <is>
          <t>Projects</t>
        </is>
      </c>
      <c r="B29" s="8" t="n">
        <v>26</v>
      </c>
      <c r="C29" s="8">
        <f>COUNTIF('Projects'!$M$3:$M$100000,"Not Run")</f>
        <v/>
      </c>
      <c r="D29" s="8">
        <f>COUNTIF('Projects'!$M$3:$M$100000,"Pass")</f>
        <v/>
      </c>
      <c r="E29" s="8">
        <f>COUNTIF('Projects'!$M$3:$M$100000,"Fail")</f>
        <v/>
      </c>
      <c r="F29" s="8">
        <f>COUNTIF('Projects'!$M$3:$M$100000,"Blocked")</f>
        <v/>
      </c>
      <c r="G29" s="8">
        <f>COUNTIF('Projects'!$M$3:$M$100000,"N/A")</f>
        <v/>
      </c>
      <c r="H29" s="9">
        <f>IFERROR(D29/(D29+E29),"")</f>
        <v/>
      </c>
    </row>
    <row r="30">
      <c r="A30" s="10" t="inlineStr">
        <is>
          <t>TOTAL</t>
        </is>
      </c>
      <c r="B30" s="11">
        <f>SUM(B3:B29)</f>
        <v/>
      </c>
      <c r="C30" s="11">
        <f>SUM(C3:C29)</f>
        <v/>
      </c>
      <c r="D30" s="11">
        <f>SUM(D3:D29)</f>
        <v/>
      </c>
      <c r="E30" s="11">
        <f>SUM(E3:E29)</f>
        <v/>
      </c>
      <c r="F30" s="11">
        <f>SUM(F3:F29)</f>
        <v/>
      </c>
      <c r="G30" s="11">
        <f>SUM(G3:G29)</f>
        <v/>
      </c>
      <c r="H30" s="12">
        <f>IFERROR(D30/(D30+E30),"")</f>
        <v/>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9"/>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IAM &amp; Access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IAM-001</t>
        </is>
      </c>
      <c r="B3" s="16" t="inlineStr">
        <is>
          <t>Authentication</t>
        </is>
      </c>
      <c r="C3" s="16" t="inlineStr">
        <is>
          <t>Successful login lands in admin shell with correct user and branch displayed</t>
        </is>
      </c>
      <c r="D3" s="17" t="inlineStr">
        <is>
          <t>Positive</t>
        </is>
      </c>
      <c r="E3" s="17" t="inlineStr">
        <is>
          <t>High</t>
        </is>
      </c>
      <c r="F3" s="16" t="inlineStr">
        <is>
          <t>App running. rootadmin user exists with known password. At least one active company and branch exist.</t>
        </is>
      </c>
      <c r="G3" s="16" t="inlineStr">
        <is>
          <t>1. Navigate to /login.
2. Enter username 'rootadmin' and its known password.
3. Click Sign In.
4. Wait for the admin shell to load.</t>
        </is>
      </c>
      <c r="H3" s="16" t="inlineStr">
        <is>
          <t>username: rootadmin, password: RootPass12345</t>
        </is>
      </c>
      <c r="I3" s="16" t="inlineStr">
        <is>
          <t>Redirect to /admin. Topbar shows the user's display name or initials. The active branch name appears in the branch selector. No raw uid is shown anywhere on screen.</t>
        </is>
      </c>
      <c r="J3" s="16" t="inlineStr">
        <is>
          <t>/login</t>
        </is>
      </c>
      <c r="K3" s="16" t="inlineStr"/>
      <c r="L3" s="16" t="inlineStr"/>
      <c r="M3" s="17" t="inlineStr">
        <is>
          <t>Not Run</t>
        </is>
      </c>
      <c r="N3" s="17" t="inlineStr"/>
      <c r="O3" s="16" t="inlineStr"/>
      <c r="P3" s="16" t="inlineStr"/>
      <c r="Q3" s="16" t="inlineStr"/>
    </row>
    <row r="4">
      <c r="A4" s="18" t="inlineStr">
        <is>
          <t>IAM-002</t>
        </is>
      </c>
      <c r="B4" s="19" t="inlineStr">
        <is>
          <t>Authentication</t>
        </is>
      </c>
      <c r="C4" s="19" t="inlineStr">
        <is>
          <t>Login with wrong password returns generic error — no user enumeration</t>
        </is>
      </c>
      <c r="D4" s="8" t="inlineStr">
        <is>
          <t>Negative</t>
        </is>
      </c>
      <c r="E4" s="8" t="inlineStr">
        <is>
          <t>High</t>
        </is>
      </c>
      <c r="F4" s="19" t="inlineStr">
        <is>
          <t>Known existing username (e.g. org.admin).</t>
        </is>
      </c>
      <c r="G4" s="19" t="inlineStr">
        <is>
          <t>1. Navigate to /login.
2. Enter username 'org.admin' and password 'totally-wrong-1'.
3. Click Sign In.</t>
        </is>
      </c>
      <c r="H4" s="19" t="inlineStr">
        <is>
          <t>username: org.admin, password: totally-wrong-1</t>
        </is>
      </c>
      <c r="I4" s="19" t="inlineStr">
        <is>
          <t>Stays on /login. Inline error message appears (generic 'Sign-in failed' or similar). No red modal dialog. POST /api/v1/auth/login returns 401. Error text is identical to the unknown-username case (IAM-003) — no user enumeration.</t>
        </is>
      </c>
      <c r="J4" s="19" t="inlineStr">
        <is>
          <t>/login</t>
        </is>
      </c>
      <c r="K4" s="19" t="inlineStr"/>
      <c r="L4" s="19" t="inlineStr"/>
      <c r="M4" s="8" t="inlineStr">
        <is>
          <t>Not Run</t>
        </is>
      </c>
      <c r="N4" s="8" t="inlineStr"/>
      <c r="O4" s="19" t="inlineStr"/>
      <c r="P4" s="19" t="inlineStr"/>
      <c r="Q4" s="19" t="inlineStr"/>
    </row>
    <row r="5">
      <c r="A5" s="15" t="inlineStr">
        <is>
          <t>IAM-003</t>
        </is>
      </c>
      <c r="B5" s="16" t="inlineStr">
        <is>
          <t>Authentication</t>
        </is>
      </c>
      <c r="C5" s="16" t="inlineStr">
        <is>
          <t>Login with unknown username returns the same generic error as wrong password</t>
        </is>
      </c>
      <c r="D5" s="17" t="inlineStr">
        <is>
          <t>Negative</t>
        </is>
      </c>
      <c r="E5" s="17" t="inlineStr">
        <is>
          <t>High</t>
        </is>
      </c>
      <c r="F5" s="16" t="inlineStr">
        <is>
          <t>None.</t>
        </is>
      </c>
      <c r="G5" s="16" t="inlineStr">
        <is>
          <t>1. Navigate to /login.
2. Enter username 'does.not.exist' and password 'Whatever123'.
3. Click Sign In.
4. Compare the error text to IAM-002's error text.</t>
        </is>
      </c>
      <c r="H5" s="16" t="inlineStr">
        <is>
          <t>username: does.not.exist, password: Whatever123</t>
        </is>
      </c>
      <c r="I5" s="16" t="inlineStr">
        <is>
          <t>Stays on /login. Error text is word-for-word identical to the wrong-password error. 401 returned. No timing difference observable. No indication whether the username exists.</t>
        </is>
      </c>
      <c r="J5" s="16" t="inlineStr">
        <is>
          <t>/login</t>
        </is>
      </c>
      <c r="K5" s="16" t="inlineStr"/>
      <c r="L5" s="16" t="inlineStr"/>
      <c r="M5" s="17" t="inlineStr">
        <is>
          <t>Not Run</t>
        </is>
      </c>
      <c r="N5" s="17" t="inlineStr"/>
      <c r="O5" s="16" t="inlineStr"/>
      <c r="P5" s="16" t="inlineStr"/>
      <c r="Q5" s="16" t="inlineStr"/>
    </row>
    <row r="6">
      <c r="A6" s="18" t="inlineStr">
        <is>
          <t>IAM-004</t>
        </is>
      </c>
      <c r="B6" s="19" t="inlineStr">
        <is>
          <t>Authentication</t>
        </is>
      </c>
      <c r="C6" s="19" t="inlineStr">
        <is>
          <t>Account lockout after 5 consecutive failed attempts; locked message appears</t>
        </is>
      </c>
      <c r="D6" s="8" t="inlineStr">
        <is>
          <t>Edge</t>
        </is>
      </c>
      <c r="E6" s="8" t="inlineStr">
        <is>
          <t>High</t>
        </is>
      </c>
      <c r="F6" s="19" t="inlineStr">
        <is>
          <t>A dedicated non-root test user (e.g. lockme.user) exists with a known correct password.</t>
        </is>
      </c>
      <c r="G6" s="19" t="inlineStr">
        <is>
          <t>1. Navigate to /login.
2. Submit wrong password 5 times for 'lockme.user'.
3. On the 6th attempt submit the CORRECT password.</t>
        </is>
      </c>
      <c r="H6" s="19" t="inlineStr">
        <is>
          <t>username: lockme.user, wrong password: bad-pass-1 (×5), correct password: known value</t>
        </is>
      </c>
      <c r="I6" s="19" t="inlineStr">
        <is>
          <t>Attempts 1–4 return generic invalid-credentials message. Attempt 5 (threshold) and attempt 6 with correct password both return a distinct 'Account is locked. Try again later or contact an administrator.' message. Login is refused even with correct credentials while locked.</t>
        </is>
      </c>
      <c r="J6" s="19" t="inlineStr">
        <is>
          <t>/login</t>
        </is>
      </c>
      <c r="K6" s="19" t="inlineStr"/>
      <c r="L6" s="19" t="inlineStr"/>
      <c r="M6" s="8" t="inlineStr">
        <is>
          <t>Not Run</t>
        </is>
      </c>
      <c r="N6" s="8" t="inlineStr"/>
      <c r="O6" s="19" t="inlineStr"/>
      <c r="P6" s="19" t="inlineStr"/>
      <c r="Q6" s="19" t="inlineStr"/>
    </row>
    <row r="7">
      <c r="A7" s="15" t="inlineStr">
        <is>
          <t>IAM-005</t>
        </is>
      </c>
      <c r="B7" s="16" t="inlineStr">
        <is>
          <t>Authentication</t>
        </is>
      </c>
      <c r="C7" s="16" t="inlineStr">
        <is>
          <t>Disabled (INACTIVE) user cannot log in</t>
        </is>
      </c>
      <c r="D7" s="17" t="inlineStr">
        <is>
          <t>Negative</t>
        </is>
      </c>
      <c r="E7" s="17" t="inlineStr">
        <is>
          <t>High</t>
        </is>
      </c>
      <c r="F7" s="16" t="inlineStr">
        <is>
          <t>A user disabled via IAM-021 (status INACTIVE). Correct password is known.</t>
        </is>
      </c>
      <c r="G7" s="16" t="inlineStr">
        <is>
          <t>1. Navigate to /login.
2. Enter the disabled user's username and correct password.
3. Click Sign In.</t>
        </is>
      </c>
      <c r="H7" s="16" t="inlineStr">
        <is>
          <t>username: disabled.user, correct password</t>
        </is>
      </c>
      <c r="I7" s="16" t="inlineStr">
        <is>
          <t>Stays on /login. Generic invalid-credentials error shown. 401 returned. Reason for refusal not disclosed.</t>
        </is>
      </c>
      <c r="J7" s="16" t="inlineStr">
        <is>
          <t>/login</t>
        </is>
      </c>
      <c r="K7" s="16" t="inlineStr"/>
      <c r="L7" s="16" t="inlineStr"/>
      <c r="M7" s="17" t="inlineStr">
        <is>
          <t>Not Run</t>
        </is>
      </c>
      <c r="N7" s="17" t="inlineStr"/>
      <c r="O7" s="16" t="inlineStr"/>
      <c r="P7" s="16" t="inlineStr"/>
      <c r="Q7" s="16" t="inlineStr"/>
    </row>
    <row r="8">
      <c r="A8" s="18" t="inlineStr">
        <is>
          <t>IAM-006</t>
        </is>
      </c>
      <c r="B8" s="19" t="inlineStr">
        <is>
          <t>Authentication</t>
        </is>
      </c>
      <c r="C8" s="19" t="inlineStr">
        <is>
          <t>Token refresh rotates the refresh token (single-use); reuse triggers chain revocation</t>
        </is>
      </c>
      <c r="D8" s="8" t="inlineStr">
        <is>
          <t>Edge</t>
        </is>
      </c>
      <c r="E8" s="8" t="inlineStr">
        <is>
          <t>Medium</t>
        </is>
      </c>
      <c r="F8" s="19" t="inlineStr">
        <is>
          <t>A valid login session. Capture the refreshToken R1 from the login response.</t>
        </is>
      </c>
      <c r="G8" s="19" t="inlineStr">
        <is>
          <t>1. POST /api/v1/auth/refresh with R1 — capture new tokens (access2, R2).
2. POST /api/v1/auth/refresh again with R1 (the already-used token).
3. POST /api/v1/auth/refresh with R2 (the valid new one).</t>
        </is>
      </c>
      <c r="H8" s="19" t="inlineStr">
        <is>
          <t>R1: captured refresh token from login</t>
        </is>
      </c>
      <c r="I8" s="19" t="inlineStr">
        <is>
          <t>Step 1: 200, new access and refresh tokens returned. Step 2: 401 'Refresh token already used. Please sign in again.' (chain revoked). Step 3: also 401 — the whole chain is revoked upon reuse detection.</t>
        </is>
      </c>
      <c r="J8" s="19" t="inlineStr"/>
      <c r="K8" s="19" t="inlineStr"/>
      <c r="L8" s="19" t="inlineStr"/>
      <c r="M8" s="8" t="inlineStr">
        <is>
          <t>Not Run</t>
        </is>
      </c>
      <c r="N8" s="8" t="inlineStr"/>
      <c r="O8" s="19" t="inlineStr"/>
      <c r="P8" s="19" t="inlineStr"/>
      <c r="Q8" s="19" t="inlineStr"/>
    </row>
    <row r="9">
      <c r="A9" s="15" t="inlineStr">
        <is>
          <t>IAM-007</t>
        </is>
      </c>
      <c r="B9" s="16" t="inlineStr">
        <is>
          <t>Authentication</t>
        </is>
      </c>
      <c r="C9" s="16" t="inlineStr">
        <is>
          <t>Logout revokes the refresh token and clears the session</t>
        </is>
      </c>
      <c r="D9" s="17" t="inlineStr">
        <is>
          <t>Positive</t>
        </is>
      </c>
      <c r="E9" s="17" t="inlineStr">
        <is>
          <t>Medium</t>
        </is>
      </c>
      <c r="F9" s="16" t="inlineStr">
        <is>
          <t>An active logged-in session.</t>
        </is>
      </c>
      <c r="G9" s="16" t="inlineStr">
        <is>
          <t>1. Log in as any user.
2. Open the user menu in the topbar; click Logout.
3. Attempt to navigate to /admin.
4. After logout, replay the revoked refresh token via POST /api/v1/auth/refresh.</t>
        </is>
      </c>
      <c r="H9" s="16" t="inlineStr">
        <is>
          <t>Any active user</t>
        </is>
      </c>
      <c r="I9" s="16" t="inlineStr">
        <is>
          <t>POST /api/v1/auth/logout returns 204. Browser redirects to /login. Navigating to /admin again redirects back to /login. Replaying the revoked refresh token returns 401.</t>
        </is>
      </c>
      <c r="J9" s="16" t="inlineStr">
        <is>
          <t>/admin</t>
        </is>
      </c>
      <c r="K9" s="16" t="inlineStr"/>
      <c r="L9" s="16" t="inlineStr"/>
      <c r="M9" s="17" t="inlineStr">
        <is>
          <t>Not Run</t>
        </is>
      </c>
      <c r="N9" s="17" t="inlineStr"/>
      <c r="O9" s="16" t="inlineStr"/>
      <c r="P9" s="16" t="inlineStr"/>
      <c r="Q9" s="16" t="inlineStr"/>
    </row>
    <row r="10">
      <c r="A10" s="18" t="inlineStr">
        <is>
          <t>IAM-008</t>
        </is>
      </c>
      <c r="B10" s="19" t="inlineStr">
        <is>
          <t>Authentication</t>
        </is>
      </c>
      <c r="C10" s="19" t="inlineStr">
        <is>
          <t>Expired/invalid access token triggers session-expired toast and redirect to login</t>
        </is>
      </c>
      <c r="D10" s="8" t="inlineStr">
        <is>
          <t>Negative</t>
        </is>
      </c>
      <c r="E10" s="8" t="inlineStr">
        <is>
          <t>Medium</t>
        </is>
      </c>
      <c r="F10" s="19" t="inlineStr">
        <is>
          <t>A logged-in session.</t>
        </is>
      </c>
      <c r="G10" s="19" t="inlineStr">
        <is>
          <t>1. Log in.
2. Corrupt or manually expire the stored access token (tamper localStorage).
3. Navigate to /admin/users to trigger an API call.</t>
        </is>
      </c>
      <c r="H10" s="19" t="inlineStr">
        <is>
          <t>Tampered access token</t>
        </is>
      </c>
      <c r="I10" s="19" t="inlineStr">
        <is>
          <t>The API returns 401. The auth error interceptor clears the session, shows a toast 'Your session has expired. Please sign in again.', and redirects to /login. No infinite redirect loop.</t>
        </is>
      </c>
      <c r="J10" s="19" t="inlineStr">
        <is>
          <t>/admin/users</t>
        </is>
      </c>
      <c r="K10" s="19" t="inlineStr"/>
      <c r="L10" s="19" t="inlineStr"/>
      <c r="M10" s="8" t="inlineStr">
        <is>
          <t>Not Run</t>
        </is>
      </c>
      <c r="N10" s="8" t="inlineStr"/>
      <c r="O10" s="19" t="inlineStr"/>
      <c r="P10" s="19" t="inlineStr"/>
      <c r="Q10" s="19" t="inlineStr"/>
    </row>
    <row r="11">
      <c r="A11" s="15" t="inlineStr">
        <is>
          <t>IAM-009</t>
        </is>
      </c>
      <c r="B11" s="16" t="inlineStr">
        <is>
          <t>Authentication</t>
        </is>
      </c>
      <c r="C11" s="16" t="inlineStr">
        <is>
          <t>Login client-side guard: blank username/password prevents form submission</t>
        </is>
      </c>
      <c r="D11" s="17" t="inlineStr">
        <is>
          <t>Negative</t>
        </is>
      </c>
      <c r="E11" s="17" t="inlineStr">
        <is>
          <t>Medium</t>
        </is>
      </c>
      <c r="F11" s="16" t="inlineStr">
        <is>
          <t>None.</t>
        </is>
      </c>
      <c r="G11" s="16" t="inlineStr">
        <is>
          <t>1. Navigate to /login.
2. Leave both username and password blank.
3. Click Sign In.</t>
        </is>
      </c>
      <c r="H11" s="16" t="inlineStr">
        <is>
          <t>No input</t>
        </is>
      </c>
      <c r="I11" s="16" t="inlineStr">
        <is>
          <t>Inline validation error appears ('Enter your username and password.' or similar). No POST /api/v1/auth/login is issued. Whitespace-only username is treated as empty.</t>
        </is>
      </c>
      <c r="J11" s="16" t="inlineStr">
        <is>
          <t>/login</t>
        </is>
      </c>
      <c r="K11" s="16" t="inlineStr"/>
      <c r="L11" s="16" t="inlineStr"/>
      <c r="M11" s="17" t="inlineStr">
        <is>
          <t>Not Run</t>
        </is>
      </c>
      <c r="N11" s="17" t="inlineStr"/>
      <c r="O11" s="16" t="inlineStr"/>
      <c r="P11" s="16" t="inlineStr"/>
      <c r="Q11" s="16" t="inlineStr"/>
    </row>
    <row r="12">
      <c r="A12" s="18" t="inlineStr">
        <is>
          <t>IAM-010</t>
        </is>
      </c>
      <c r="B12" s="19" t="inlineStr">
        <is>
          <t>Authentication</t>
        </is>
      </c>
      <c r="C12" s="19" t="inlineStr">
        <is>
          <t>GET /auth/me drives permission-aware navigation (items hidden for missing permissions)</t>
        </is>
      </c>
      <c r="D12" s="8" t="inlineStr">
        <is>
          <t>Positive</t>
        </is>
      </c>
      <c r="E12" s="8" t="inlineStr">
        <is>
          <t>High</t>
        </is>
      </c>
      <c r="F12" s="19" t="inlineStr">
        <is>
          <t>Three users: NO-PERMISSION user (no roles), a CUSTOM-role user (COMPANY.VIEW + USER.VIEW only), ORG_ADMIN.</t>
        </is>
      </c>
      <c r="G12" s="19" t="inlineStr">
        <is>
          <t>1. Log in as the NO-PERMISSION user; inspect the sidebar items.
2. Log out; log in as the CUSTOM-role user; inspect the sidebar.
3. Log out; log in as ORG_ADMIN; inspect the sidebar.</t>
        </is>
      </c>
      <c r="H12" s="19" t="inlineStr">
        <is>
          <t>Users: qa.noperm, qa.custom (COMPANY.VIEW+USER.VIEW), qa.orgadmin</t>
        </is>
      </c>
      <c r="I12" s="19" t="inlineStr">
        <is>
          <t>NO-PERMISSION: no permission-gated nav items visible. CUSTOM: only Companies and Users nav items appear. ORG_ADMIN: all Administration items visible. GET /api/v1/auth/me returns the corresponding permissions[] array for each.</t>
        </is>
      </c>
      <c r="J12" s="19" t="inlineStr">
        <is>
          <t>/admin</t>
        </is>
      </c>
      <c r="K12" s="19" t="inlineStr"/>
      <c r="L12" s="19" t="inlineStr"/>
      <c r="M12" s="8" t="inlineStr">
        <is>
          <t>Not Run</t>
        </is>
      </c>
      <c r="N12" s="8" t="inlineStr"/>
      <c r="O12" s="19" t="inlineStr"/>
      <c r="P12" s="19" t="inlineStr"/>
      <c r="Q12" s="19" t="inlineStr"/>
    </row>
    <row r="13">
      <c r="A13" s="15" t="inlineStr">
        <is>
          <t>IAM-011</t>
        </is>
      </c>
      <c r="B13" s="16" t="inlineStr">
        <is>
          <t>Authentication</t>
        </is>
      </c>
      <c r="C13" s="16" t="inlineStr">
        <is>
          <t>GET /auth/my-branches lists only ACTIVE switchable branches for the user</t>
        </is>
      </c>
      <c r="D13" s="17" t="inlineStr">
        <is>
          <t>Positive</t>
        </is>
      </c>
      <c r="E13" s="17" t="inlineStr">
        <is>
          <t>Medium</t>
        </is>
      </c>
      <c r="F13" s="16" t="inlineStr">
        <is>
          <t>A user assigned to at least 2 ACTIVE branches and 1 ARCHIVED/inactive branch.</t>
        </is>
      </c>
      <c r="G13" s="16" t="inlineStr">
        <is>
          <t>1. Log in as that user.
2. Open the topbar branch selector.</t>
        </is>
      </c>
      <c r="H13" s="16" t="inlineStr">
        <is>
          <t>User with branches: HQ (ACTIVE), Mwanza (ACTIVE), Old Branch (ARCHIVED)</t>
        </is>
      </c>
      <c r="I13" s="16" t="inlineStr">
        <is>
          <t>Only the two ACTIVE branches appear in the selector. The archived branch is not listed. Branches are shown by name, not by uid. The current active branch is highlighted.</t>
        </is>
      </c>
      <c r="J13" s="16" t="inlineStr">
        <is>
          <t>/admin</t>
        </is>
      </c>
      <c r="K13" s="16" t="inlineStr"/>
      <c r="L13" s="16" t="inlineStr"/>
      <c r="M13" s="17" t="inlineStr">
        <is>
          <t>Not Run</t>
        </is>
      </c>
      <c r="N13" s="17" t="inlineStr"/>
      <c r="O13" s="16" t="inlineStr"/>
      <c r="P13" s="16" t="inlineStr"/>
      <c r="Q13" s="16" t="inlineStr"/>
    </row>
    <row r="14">
      <c r="A14" s="18" t="inlineStr">
        <is>
          <t>IAM-012</t>
        </is>
      </c>
      <c r="B14" s="19" t="inlineStr">
        <is>
          <t>Authentication</t>
        </is>
      </c>
      <c r="C14" s="19" t="inlineStr">
        <is>
          <t>Branch switch re-resolves permissions and sends X-Branch-Uid header</t>
        </is>
      </c>
      <c r="D14" s="8" t="inlineStr">
        <is>
          <t>Positive</t>
        </is>
      </c>
      <c r="E14" s="8" t="inlineStr">
        <is>
          <t>High</t>
        </is>
      </c>
      <c r="F14" s="19" t="inlineStr">
        <is>
          <t>A user assigned to Branch A (default) and Branch B, with different effective grants per branch.</t>
        </is>
      </c>
      <c r="G14" s="19" t="inlineStr">
        <is>
          <t>1. Log in (lands on Branch A). Note the nav items.
2. Open the branch selector; pick Branch B by name.
3. Observe the nav items and confirm subsequent API calls carry X-Branch-Uid: &lt;B-uid&gt;.</t>
        </is>
      </c>
      <c r="H14" s="19" t="inlineStr">
        <is>
          <t>Branch A: HQ (default), Branch B: Mwanza Depot</t>
        </is>
      </c>
      <c r="I14" s="19" t="inlineStr">
        <is>
          <t>After switching to Branch B, GET /api/v1/auth/me is called with X-Branch-Uid header set to Branch B's uid. Nav recomputes to reflect Branch B's effective permissions. No re-login required. Branch is selected by name — uid only goes in the header.</t>
        </is>
      </c>
      <c r="J14" s="19" t="inlineStr">
        <is>
          <t>/admin</t>
        </is>
      </c>
      <c r="K14" s="19" t="inlineStr"/>
      <c r="L14" s="19" t="inlineStr"/>
      <c r="M14" s="8" t="inlineStr">
        <is>
          <t>Not Run</t>
        </is>
      </c>
      <c r="N14" s="8" t="inlineStr"/>
      <c r="O14" s="19" t="inlineStr"/>
      <c r="P14" s="19" t="inlineStr"/>
      <c r="Q14" s="19" t="inlineStr"/>
    </row>
    <row r="15">
      <c r="A15" s="15" t="inlineStr">
        <is>
          <t>IAM-013</t>
        </is>
      </c>
      <c r="B15" s="16" t="inlineStr">
        <is>
          <t>Users</t>
        </is>
      </c>
      <c r="C15" s="16" t="inlineStr">
        <is>
          <t>Create a user with valid data</t>
        </is>
      </c>
      <c r="D15" s="17" t="inlineStr">
        <is>
          <t>Positive</t>
        </is>
      </c>
      <c r="E15" s="17" t="inlineStr">
        <is>
          <t>High</t>
        </is>
      </c>
      <c r="F15" s="16" t="inlineStr">
        <is>
          <t>Logged in as ORG_ADMIN (holds USER.MANAGE).</t>
        </is>
      </c>
      <c r="G15" s="16" t="inlineStr">
        <is>
          <t>1. Navigate to /admin/users.
2. Fill the create form: username, display name, password.
3. Submit.</t>
        </is>
      </c>
      <c r="H15" s="16" t="inlineStr">
        <is>
          <t>username: new.clerk, displayName: New Clerk, password: Welcome123</t>
        </is>
      </c>
      <c r="I15" s="16" t="inlineStr">
        <is>
          <t>POST /api/v1/users returns 201. New row appears in the table showing username and display name (no uid visible). Toast 'User created'. is_root is false. User status is ACTIVE.</t>
        </is>
      </c>
      <c r="J15" s="16" t="inlineStr">
        <is>
          <t>/admin/users</t>
        </is>
      </c>
      <c r="K15" s="16" t="inlineStr">
        <is>
          <t>USER.MANAGE</t>
        </is>
      </c>
      <c r="L15" s="16" t="inlineStr"/>
      <c r="M15" s="17" t="inlineStr">
        <is>
          <t>Not Run</t>
        </is>
      </c>
      <c r="N15" s="17" t="inlineStr"/>
      <c r="O15" s="16" t="inlineStr"/>
      <c r="P15" s="16" t="inlineStr"/>
      <c r="Q15" s="16" t="inlineStr"/>
    </row>
    <row r="16">
      <c r="A16" s="18" t="inlineStr">
        <is>
          <t>IAM-014</t>
        </is>
      </c>
      <c r="B16" s="19" t="inlineStr">
        <is>
          <t>Users</t>
        </is>
      </c>
      <c r="C16" s="19" t="inlineStr">
        <is>
          <t>Create user: duplicate username rejected (case-insensitive)</t>
        </is>
      </c>
      <c r="D16" s="8" t="inlineStr">
        <is>
          <t>Negative</t>
        </is>
      </c>
      <c r="E16" s="8" t="inlineStr">
        <is>
          <t>High</t>
        </is>
      </c>
      <c r="F16" s="19" t="inlineStr">
        <is>
          <t>Logged in as ORG_ADMIN. Existing username 'org.admin' is present.</t>
        </is>
      </c>
      <c r="G16" s="19" t="inlineStr">
        <is>
          <t>1. Navigate to /admin/users.
2. Submit create form with username 'ORG.ADMIN' (different case).</t>
        </is>
      </c>
      <c r="H16" s="19" t="inlineStr">
        <is>
          <t>username: ORG.ADMIN (duplicate of org.admin)</t>
        </is>
      </c>
      <c r="I16" s="19" t="inlineStr">
        <is>
          <t>409 returned. Inline form error 'Username already exists: org.admin'. No new row added.</t>
        </is>
      </c>
      <c r="J16" s="19" t="inlineStr">
        <is>
          <t>/admin/users</t>
        </is>
      </c>
      <c r="K16" s="19" t="inlineStr">
        <is>
          <t>USER.MANAGE</t>
        </is>
      </c>
      <c r="L16" s="19" t="inlineStr"/>
      <c r="M16" s="8" t="inlineStr">
        <is>
          <t>Not Run</t>
        </is>
      </c>
      <c r="N16" s="8" t="inlineStr"/>
      <c r="O16" s="19" t="inlineStr"/>
      <c r="P16" s="19" t="inlineStr"/>
      <c r="Q16" s="19" t="inlineStr"/>
    </row>
    <row r="17">
      <c r="A17" s="15" t="inlineStr">
        <is>
          <t>IAM-015</t>
        </is>
      </c>
      <c r="B17" s="16" t="inlineStr">
        <is>
          <t>Users</t>
        </is>
      </c>
      <c r="C17" s="16" t="inlineStr">
        <is>
          <t>Create user: password too short (&lt; 8 chars) rejected</t>
        </is>
      </c>
      <c r="D17" s="17" t="inlineStr">
        <is>
          <t>Negative</t>
        </is>
      </c>
      <c r="E17" s="17" t="inlineStr">
        <is>
          <t>High</t>
        </is>
      </c>
      <c r="F17" s="16" t="inlineStr">
        <is>
          <t>Logged in as ORG_ADMIN.</t>
        </is>
      </c>
      <c r="G17" s="16" t="inlineStr">
        <is>
          <t>1. Navigate to /admin/users.
2. Submit create form with password 'Ab1' (3 chars).</t>
        </is>
      </c>
      <c r="H17" s="16" t="inlineStr">
        <is>
          <t>password: Ab1</t>
        </is>
      </c>
      <c r="I17" s="16" t="inlineStr">
        <is>
          <t>400 or 409 with error 'Password must be at least 8 characters.' Inline error shown. User not created. Boundary: exactly 8 chars passes; 7 chars fails.</t>
        </is>
      </c>
      <c r="J17" s="16" t="inlineStr">
        <is>
          <t>/admin/users</t>
        </is>
      </c>
      <c r="K17" s="16" t="inlineStr">
        <is>
          <t>USER.MANAGE</t>
        </is>
      </c>
      <c r="L17" s="16" t="inlineStr"/>
      <c r="M17" s="17" t="inlineStr">
        <is>
          <t>Not Run</t>
        </is>
      </c>
      <c r="N17" s="17" t="inlineStr"/>
      <c r="O17" s="16" t="inlineStr"/>
      <c r="P17" s="16" t="inlineStr"/>
      <c r="Q17" s="16" t="inlineStr"/>
    </row>
    <row r="18">
      <c r="A18" s="18" t="inlineStr">
        <is>
          <t>IAM-016</t>
        </is>
      </c>
      <c r="B18" s="19" t="inlineStr">
        <is>
          <t>Users</t>
        </is>
      </c>
      <c r="C18" s="19" t="inlineStr">
        <is>
          <t>Create user: common password rejected; no-letter and no-digit passwords rejected</t>
        </is>
      </c>
      <c r="D18" s="8" t="inlineStr">
        <is>
          <t>Negative</t>
        </is>
      </c>
      <c r="E18" s="8" t="inlineStr">
        <is>
          <t>High</t>
        </is>
      </c>
      <c r="F18" s="19" t="inlineStr">
        <is>
          <t>Logged in as ORG_ADMIN.</t>
        </is>
      </c>
      <c r="G18" s="19" t="inlineStr">
        <is>
          <t>1. Attempt (a) password 'abcdefgh' (no digit). 2. Attempt (b) password 'password1' (common list). 3. Attempt (c) password '12345678' (no letter + common). 4. Attempt (d) password 'Welcome123' (valid).</t>
        </is>
      </c>
      <c r="H18" s="19" t="inlineStr">
        <is>
          <t>passwords: abcdefgh, password1, 12345678, Welcome123</t>
        </is>
      </c>
      <c r="I18" s="19" t="inlineStr">
        <is>
          <t>(a) 'Password must contain letters and at least one number.' (b) 'Password is too common; choose a stronger one.' (c) rejected (no letter and common). (d) user created successfully. Each common-list entry (password, password1, 12345678, qwerty123, admin123, letmein123, changeme, welcome1, passw0rd) is rejected.</t>
        </is>
      </c>
      <c r="J18" s="19" t="inlineStr">
        <is>
          <t>/admin/users</t>
        </is>
      </c>
      <c r="K18" s="19" t="inlineStr">
        <is>
          <t>USER.MANAGE</t>
        </is>
      </c>
      <c r="L18" s="19" t="inlineStr"/>
      <c r="M18" s="8" t="inlineStr">
        <is>
          <t>Not Run</t>
        </is>
      </c>
      <c r="N18" s="8" t="inlineStr"/>
      <c r="O18" s="19" t="inlineStr"/>
      <c r="P18" s="19" t="inlineStr"/>
      <c r="Q18" s="19" t="inlineStr"/>
    </row>
    <row r="19">
      <c r="A19" s="15" t="inlineStr">
        <is>
          <t>IAM-017</t>
        </is>
      </c>
      <c r="B19" s="16" t="inlineStr">
        <is>
          <t>Users</t>
        </is>
      </c>
      <c r="C19" s="16" t="inlineStr">
        <is>
          <t>Disable an active user (status → INACTIVE)</t>
        </is>
      </c>
      <c r="D19" s="17" t="inlineStr">
        <is>
          <t>Positive</t>
        </is>
      </c>
      <c r="E19" s="17" t="inlineStr">
        <is>
          <t>High</t>
        </is>
      </c>
      <c r="F19" s="16" t="inlineStr">
        <is>
          <t>Logged in as ORG_ADMIN. An ACTIVE non-root user exists.</t>
        </is>
      </c>
      <c r="G19" s="16" t="inlineStr">
        <is>
          <t>1. Navigate to /admin/users.
2. On the target row, click Disable.
3. Reload the page.</t>
        </is>
      </c>
      <c r="H19" s="16" t="inlineStr">
        <is>
          <t>Target user: new.clerk (ACTIVE)</t>
        </is>
      </c>
      <c r="I19" s="16" t="inlineStr">
        <is>
          <t>PUT /api/v1/users/uid/{uid}/disable returns 204. On reload GET /api/v1/users shows the user with status 'INACTIVE'. Disable action is NOT rendered for root users.</t>
        </is>
      </c>
      <c r="J19" s="16" t="inlineStr">
        <is>
          <t>/admin/users</t>
        </is>
      </c>
      <c r="K19" s="16" t="inlineStr">
        <is>
          <t>USER.MANAGE</t>
        </is>
      </c>
      <c r="L19" s="16" t="inlineStr"/>
      <c r="M19" s="17" t="inlineStr">
        <is>
          <t>Not Run</t>
        </is>
      </c>
      <c r="N19" s="17" t="inlineStr"/>
      <c r="O19" s="16" t="inlineStr"/>
      <c r="P19" s="16" t="inlineStr"/>
      <c r="Q19" s="16" t="inlineStr"/>
    </row>
    <row r="20">
      <c r="A20" s="18" t="inlineStr">
        <is>
          <t>IAM-018</t>
        </is>
      </c>
      <c r="B20" s="19" t="inlineStr">
        <is>
          <t>Users</t>
        </is>
      </c>
      <c r="C20" s="19" t="inlineStr">
        <is>
          <t>Enable a disabled user (status → ACTIVE); re-login then succeeds</t>
        </is>
      </c>
      <c r="D20" s="8" t="inlineStr">
        <is>
          <t>Positive</t>
        </is>
      </c>
      <c r="E20" s="8" t="inlineStr">
        <is>
          <t>Medium</t>
        </is>
      </c>
      <c r="F20" s="19" t="inlineStr">
        <is>
          <t>An INACTIVE user (from IAM-017).</t>
        </is>
      </c>
      <c r="G20" s="19" t="inlineStr">
        <is>
          <t>1. Navigate to /admin/users.
2. On the disabled row, click Enable.
3. Log out; log in as the re-enabled user.</t>
        </is>
      </c>
      <c r="H20" s="19" t="inlineStr">
        <is>
          <t>Target user: new.clerk (INACTIVE)</t>
        </is>
      </c>
      <c r="I20" s="19" t="inlineStr">
        <is>
          <t>PUT /api/v1/users/uid/{uid}/enable returns 204. Status returns to ACTIVE on reload. The user can log in again.</t>
        </is>
      </c>
      <c r="J20" s="19" t="inlineStr">
        <is>
          <t>/admin/users</t>
        </is>
      </c>
      <c r="K20" s="19" t="inlineStr">
        <is>
          <t>USER.MANAGE</t>
        </is>
      </c>
      <c r="L20" s="19" t="inlineStr"/>
      <c r="M20" s="8" t="inlineStr">
        <is>
          <t>Not Run</t>
        </is>
      </c>
      <c r="N20" s="8" t="inlineStr"/>
      <c r="O20" s="19" t="inlineStr"/>
      <c r="P20" s="19" t="inlineStr"/>
      <c r="Q20" s="19" t="inlineStr"/>
    </row>
    <row r="21">
      <c r="A21" s="15" t="inlineStr">
        <is>
          <t>IAM-019</t>
        </is>
      </c>
      <c r="B21" s="16" t="inlineStr">
        <is>
          <t>Users</t>
        </is>
      </c>
      <c r="C21" s="16" t="inlineStr">
        <is>
          <t>Admin unlock clears lockout; login then succeeds</t>
        </is>
      </c>
      <c r="D21" s="17" t="inlineStr">
        <is>
          <t>Positive</t>
        </is>
      </c>
      <c r="E21" s="17" t="inlineStr">
        <is>
          <t>Medium</t>
        </is>
      </c>
      <c r="F21" s="16" t="inlineStr">
        <is>
          <t>A locked user (from IAM-004).</t>
        </is>
      </c>
      <c r="G21" s="16" t="inlineStr">
        <is>
          <t>1. Log in as ORG_ADMIN; navigate to /admin/users.
2. Locate the locked user; click Unlock.
3. Log out; log in as the unlocked user with the correct password.</t>
        </is>
      </c>
      <c r="H21" s="16" t="inlineStr">
        <is>
          <t>Locked user: lockme.user</t>
        </is>
      </c>
      <c r="I21" s="16" t="inlineStr">
        <is>
          <t>PUT /api/v1/users/uid/{uid}/unlock returns 204. User row no longer shows locked status. Subsequent login with correct password succeeds.</t>
        </is>
      </c>
      <c r="J21" s="16" t="inlineStr">
        <is>
          <t>/admin/users</t>
        </is>
      </c>
      <c r="K21" s="16" t="inlineStr">
        <is>
          <t>USER.MANAGE</t>
        </is>
      </c>
      <c r="L21" s="16" t="inlineStr"/>
      <c r="M21" s="17" t="inlineStr">
        <is>
          <t>Not Run</t>
        </is>
      </c>
      <c r="N21" s="17" t="inlineStr"/>
      <c r="O21" s="16" t="inlineStr"/>
      <c r="P21" s="16" t="inlineStr"/>
      <c r="Q21" s="16" t="inlineStr"/>
    </row>
    <row r="22">
      <c r="A22" s="18" t="inlineStr">
        <is>
          <t>IAM-020</t>
        </is>
      </c>
      <c r="B22" s="19" t="inlineStr">
        <is>
          <t>Users</t>
        </is>
      </c>
      <c r="C22" s="19" t="inlineStr">
        <is>
          <t>Admin password reset; user can log in with new password</t>
        </is>
      </c>
      <c r="D22" s="8" t="inlineStr">
        <is>
          <t>Positive</t>
        </is>
      </c>
      <c r="E22" s="8" t="inlineStr">
        <is>
          <t>High</t>
        </is>
      </c>
      <c r="F22" s="19" t="inlineStr">
        <is>
          <t>Logged in as ORG_ADMIN. A non-root user exists.</t>
        </is>
      </c>
      <c r="G22" s="19" t="inlineStr">
        <is>
          <t>1. Navigate to /admin/users.
2. Expand the set-password form for the target user.
3. Enter a policy-valid password; save.
4. Log out; log in as that user with the new password.</t>
        </is>
      </c>
      <c r="H22" s="19" t="inlineStr">
        <is>
          <t>New password: Reset2026</t>
        </is>
      </c>
      <c r="I22" s="19" t="inlineStr">
        <is>
          <t>PUT /api/v1/users/uid/{uid}/password returns 204. Toast 'Password updated'. Password never appears in a log or audit detail. Login with the new password succeeds.</t>
        </is>
      </c>
      <c r="J22" s="19" t="inlineStr">
        <is>
          <t>/admin/users</t>
        </is>
      </c>
      <c r="K22" s="19" t="inlineStr">
        <is>
          <t>USER.MANAGE</t>
        </is>
      </c>
      <c r="L22" s="19" t="inlineStr"/>
      <c r="M22" s="8" t="inlineStr">
        <is>
          <t>Not Run</t>
        </is>
      </c>
      <c r="N22" s="8" t="inlineStr"/>
      <c r="O22" s="19" t="inlineStr"/>
      <c r="P22" s="19" t="inlineStr"/>
      <c r="Q22" s="19" t="inlineStr"/>
    </row>
    <row r="23">
      <c r="A23" s="15" t="inlineStr">
        <is>
          <t>IAM-021</t>
        </is>
      </c>
      <c r="B23" s="16" t="inlineStr">
        <is>
          <t>Users</t>
        </is>
      </c>
      <c r="C23" s="16" t="inlineStr">
        <is>
          <t>Viewer-only user (USER.VIEW, no USER.MANAGE) cannot perform management actions</t>
        </is>
      </c>
      <c r="D23" s="17" t="inlineStr">
        <is>
          <t>Permission</t>
        </is>
      </c>
      <c r="E23" s="17" t="inlineStr">
        <is>
          <t>High</t>
        </is>
      </c>
      <c r="F23" s="16" t="inlineStr">
        <is>
          <t>A user holding USER.VIEW but NOT USER.MANAGE.</t>
        </is>
      </c>
      <c r="G23" s="16" t="inlineStr">
        <is>
          <t>1. Log in as the view-only user.
2. Navigate to /admin/users (list loads).
3. Attempt to click Disable, Unlock, or the set-password form.
4. Force POST /api/v1/users directly.</t>
        </is>
      </c>
      <c r="H23" s="16" t="inlineStr">
        <is>
          <t>User: qa.viewer (USER.VIEW only)</t>
        </is>
      </c>
      <c r="I23" s="16" t="inlineStr">
        <is>
          <t>List renders. Management actions (Disable, Enable, Unlock, Set Password, Create) are hidden. Forced POST returns 403. No red modal — 403 is handled as a calm state.</t>
        </is>
      </c>
      <c r="J23" s="16" t="inlineStr">
        <is>
          <t>/admin/users</t>
        </is>
      </c>
      <c r="K23" s="16" t="inlineStr">
        <is>
          <t>USER.VIEW</t>
        </is>
      </c>
      <c r="L23" s="16" t="inlineStr"/>
      <c r="M23" s="17" t="inlineStr">
        <is>
          <t>Not Run</t>
        </is>
      </c>
      <c r="N23" s="17" t="inlineStr"/>
      <c r="O23" s="16" t="inlineStr"/>
      <c r="P23" s="16" t="inlineStr"/>
      <c r="Q23" s="16" t="inlineStr"/>
    </row>
    <row r="24">
      <c r="A24" s="18" t="inlineStr">
        <is>
          <t>IAM-022</t>
        </is>
      </c>
      <c r="B24" s="19" t="inlineStr">
        <is>
          <t>Users</t>
        </is>
      </c>
      <c r="C24" s="19" t="inlineStr">
        <is>
          <t>No-permission user cannot reach /admin/users; route guard redirects to /admin/home</t>
        </is>
      </c>
      <c r="D24" s="8" t="inlineStr">
        <is>
          <t>Permission</t>
        </is>
      </c>
      <c r="E24" s="8" t="inlineStr">
        <is>
          <t>High</t>
        </is>
      </c>
      <c r="F24" s="19" t="inlineStr">
        <is>
          <t>A user with no roles/permissions (qa.noperm).</t>
        </is>
      </c>
      <c r="G24" s="19" t="inlineStr">
        <is>
          <t>1. Log in as qa.noperm.
2. Navigate directly to /admin/users.</t>
        </is>
      </c>
      <c r="H24" s="19" t="inlineStr">
        <is>
          <t>User: qa.noperm</t>
        </is>
      </c>
      <c r="I24" s="19" t="inlineStr">
        <is>
          <t>Route guard redirects to /admin/home. The Users nav item is absent from the sidebar. GET /api/v1/users returns 403.</t>
        </is>
      </c>
      <c r="J24" s="19" t="inlineStr">
        <is>
          <t>/admin/users</t>
        </is>
      </c>
      <c r="K24" s="19" t="inlineStr"/>
      <c r="L24" s="19" t="inlineStr"/>
      <c r="M24" s="8" t="inlineStr">
        <is>
          <t>Not Run</t>
        </is>
      </c>
      <c r="N24" s="8" t="inlineStr"/>
      <c r="O24" s="19" t="inlineStr"/>
      <c r="P24" s="19" t="inlineStr"/>
      <c r="Q24" s="19" t="inlineStr"/>
    </row>
    <row r="25">
      <c r="A25" s="15" t="inlineStr">
        <is>
          <t>IAM-023</t>
        </is>
      </c>
      <c r="B25" s="16" t="inlineStr">
        <is>
          <t>Users</t>
        </is>
      </c>
      <c r="C25" s="16" t="inlineStr">
        <is>
          <t>User detail: uid only in URL, never displayed; branch/role panels use name pickers</t>
        </is>
      </c>
      <c r="D25" s="17" t="inlineStr">
        <is>
          <t>Positive</t>
        </is>
      </c>
      <c r="E25" s="17" t="inlineStr">
        <is>
          <t>High</t>
        </is>
      </c>
      <c r="F25" s="16" t="inlineStr">
        <is>
          <t>Logged in as ORG_ADMIN. A user exists.</t>
        </is>
      </c>
      <c r="G25" s="16" t="inlineStr">
        <is>
          <t>1. From /admin/users, click the row action to open /admin/users/uid/:uid.
2. Inspect the page header, branch-assignment panel, and role-grant panel.
3. Scan all visible text for uid strings.</t>
        </is>
      </c>
      <c r="H25" s="16" t="inlineStr">
        <is>
          <t>Any existing user</t>
        </is>
      </c>
      <c r="I25" s="16" t="inlineStr">
        <is>
          <t>Header shows username/display name/status — no uid text. The uid appears only in the URL path. Branch and role pickers select by name from dropdowns. No raw uid is typed or shown in any label or cell.</t>
        </is>
      </c>
      <c r="J25" s="16" t="inlineStr">
        <is>
          <t>/admin/users/uid/:uid</t>
        </is>
      </c>
      <c r="K25" s="16" t="inlineStr">
        <is>
          <t>USER.VIEW</t>
        </is>
      </c>
      <c r="L25" s="16" t="inlineStr"/>
      <c r="M25" s="17" t="inlineStr">
        <is>
          <t>Not Run</t>
        </is>
      </c>
      <c r="N25" s="17" t="inlineStr"/>
      <c r="O25" s="16" t="inlineStr"/>
      <c r="P25" s="16" t="inlineStr"/>
      <c r="Q25" s="16" t="inlineStr"/>
    </row>
    <row r="26">
      <c r="A26" s="18" t="inlineStr">
        <is>
          <t>IAM-024</t>
        </is>
      </c>
      <c r="B26" s="19" t="inlineStr">
        <is>
          <t>Roles</t>
        </is>
      </c>
      <c r="C26" s="19" t="inlineStr">
        <is>
          <t>Create a role with org-unique code</t>
        </is>
      </c>
      <c r="D26" s="8" t="inlineStr">
        <is>
          <t>Positive</t>
        </is>
      </c>
      <c r="E26" s="8" t="inlineStr">
        <is>
          <t>High</t>
        </is>
      </c>
      <c r="F26" s="19" t="inlineStr">
        <is>
          <t>Logged in as ORG_ADMIN (holds ROLE.MANAGE).</t>
        </is>
      </c>
      <c r="G26" s="19" t="inlineStr">
        <is>
          <t>1. Navigate to /admin/roles.
2. Fill create form: code, name, optional description.
3. Submit.</t>
        </is>
      </c>
      <c r="H26" s="19" t="inlineStr">
        <is>
          <t>code: BRANCH_SUP, name: Branch Supervisor, description: Reviews branch ops</t>
        </is>
      </c>
      <c r="I26" s="19" t="inlineStr">
        <is>
          <t>POST /api/v1/roles returns 201. New row appears. Role is non-system (system: false), status ACTIVE, empty permissionCodes. Row links to /admin/roles/uid/:uid — uid only in URL.</t>
        </is>
      </c>
      <c r="J26" s="19" t="inlineStr">
        <is>
          <t>/admin/roles</t>
        </is>
      </c>
      <c r="K26" s="19" t="inlineStr">
        <is>
          <t>ROLE.MANAGE</t>
        </is>
      </c>
      <c r="L26" s="19" t="inlineStr"/>
      <c r="M26" s="8" t="inlineStr">
        <is>
          <t>Not Run</t>
        </is>
      </c>
      <c r="N26" s="8" t="inlineStr"/>
      <c r="O26" s="19" t="inlineStr"/>
      <c r="P26" s="19" t="inlineStr"/>
      <c r="Q26" s="19" t="inlineStr"/>
    </row>
    <row r="27">
      <c r="A27" s="15" t="inlineStr">
        <is>
          <t>IAM-025</t>
        </is>
      </c>
      <c r="B27" s="16" t="inlineStr">
        <is>
          <t>Roles</t>
        </is>
      </c>
      <c r="C27" s="16" t="inlineStr">
        <is>
          <t>Create role: duplicate code rejected</t>
        </is>
      </c>
      <c r="D27" s="17" t="inlineStr">
        <is>
          <t>Negative</t>
        </is>
      </c>
      <c r="E27" s="17" t="inlineStr">
        <is>
          <t>High</t>
        </is>
      </c>
      <c r="F27" s="16" t="inlineStr">
        <is>
          <t>Role with code BRANCH_SUP already exists.</t>
        </is>
      </c>
      <c r="G27" s="16" t="inlineStr">
        <is>
          <t>1. Navigate to /admin/roles.
2. Submit create form with code 'BRANCH_SUP'.</t>
        </is>
      </c>
      <c r="H27" s="16" t="inlineStr">
        <is>
          <t>code: BRANCH_SUP (duplicate)</t>
        </is>
      </c>
      <c r="I27" s="16" t="inlineStr">
        <is>
          <t>409 returned. Inline error 'Role code already exists: BRANCH_SUP'. No row added.</t>
        </is>
      </c>
      <c r="J27" s="16" t="inlineStr">
        <is>
          <t>/admin/roles</t>
        </is>
      </c>
      <c r="K27" s="16" t="inlineStr">
        <is>
          <t>ROLE.MANAGE</t>
        </is>
      </c>
      <c r="L27" s="16" t="inlineStr"/>
      <c r="M27" s="17" t="inlineStr">
        <is>
          <t>Not Run</t>
        </is>
      </c>
      <c r="N27" s="17" t="inlineStr"/>
      <c r="O27" s="16" t="inlineStr"/>
      <c r="P27" s="16" t="inlineStr"/>
      <c r="Q27" s="16" t="inlineStr"/>
    </row>
    <row r="28">
      <c r="A28" s="18" t="inlineStr">
        <is>
          <t>IAM-026</t>
        </is>
      </c>
      <c r="B28" s="19" t="inlineStr">
        <is>
          <t>Roles</t>
        </is>
      </c>
      <c r="C28" s="19" t="inlineStr">
        <is>
          <t>Set role permissions via grouped checkbox UI (replace semantics)</t>
        </is>
      </c>
      <c r="D28" s="8" t="inlineStr">
        <is>
          <t>Positive</t>
        </is>
      </c>
      <c r="E28" s="8" t="inlineStr">
        <is>
          <t>High</t>
        </is>
      </c>
      <c r="F28" s="19" t="inlineStr">
        <is>
          <t>Logged in as ORG_ADMIN (holds ROLE.MANAGE + PERMISSION.VIEW). A custom role exists.</t>
        </is>
      </c>
      <c r="G28" s="19" t="inlineStr">
        <is>
          <t>1. Navigate to /admin/roles/uid/:uid for the custom role.
2. Check USER.VIEW and USER.MANAGE; uncheck all others.
3. Save permissions.</t>
        </is>
      </c>
      <c r="H28" s="19" t="inlineStr">
        <is>
          <t>Role: BRANCH_SUP; permissions to set: USER.VIEW, USER.MANAGE</t>
        </is>
      </c>
      <c r="I28" s="19" t="inlineStr">
        <is>
          <t>PUT /api/v1/roles/uid/{uid}/permissions returns 200 RoleDto with sorted permissionCodes [USER.MANAGE, USER.VIEW]. Checkbox state reflects the saved set. Saving an empty list is valid (clears all permissions).</t>
        </is>
      </c>
      <c r="J28" s="19" t="inlineStr">
        <is>
          <t>/admin/roles/uid/:uid</t>
        </is>
      </c>
      <c r="K28" s="19" t="inlineStr">
        <is>
          <t>ROLE.MANAGE</t>
        </is>
      </c>
      <c r="L28" s="19" t="inlineStr"/>
      <c r="M28" s="8" t="inlineStr">
        <is>
          <t>Not Run</t>
        </is>
      </c>
      <c r="N28" s="8" t="inlineStr"/>
      <c r="O28" s="19" t="inlineStr"/>
      <c r="P28" s="19" t="inlineStr"/>
      <c r="Q28" s="19" t="inlineStr"/>
    </row>
    <row r="29">
      <c r="A29" s="15" t="inlineStr">
        <is>
          <t>IAM-027</t>
        </is>
      </c>
      <c r="B29" s="16" t="inlineStr">
        <is>
          <t>Roles</t>
        </is>
      </c>
      <c r="C29" s="16" t="inlineStr">
        <is>
          <t>Archive a non-system role; system role archive blocked</t>
        </is>
      </c>
      <c r="D29" s="17" t="inlineStr">
        <is>
          <t>Positive</t>
        </is>
      </c>
      <c r="E29" s="17" t="inlineStr">
        <is>
          <t>High</t>
        </is>
      </c>
      <c r="F29" s="16" t="inlineStr">
        <is>
          <t>Logged in as ORG_ADMIN. A custom non-system role and a seeded system role (e.g. ORG_ADMIN) both exist.</t>
        </is>
      </c>
      <c r="G29" s="16" t="inlineStr">
        <is>
          <t>1. Archive the custom role BRANCH_SUP.
2. Attempt to archive the system role ORG_ADMIN.</t>
        </is>
      </c>
      <c r="H29" s="16" t="inlineStr">
        <is>
          <t>Custom role: BRANCH_SUP, System role: ORG_ADMIN</t>
        </is>
      </c>
      <c r="I29" s="16" t="inlineStr">
        <is>
          <t>Custom role: 204, status ARCHIVED (soft-delete, row still exists). System role attempt: 409 'System role cannot be archived: ORG_ADMIN'. Cache invalidated after archive.</t>
        </is>
      </c>
      <c r="J29" s="16" t="inlineStr">
        <is>
          <t>/admin/roles</t>
        </is>
      </c>
      <c r="K29" s="16" t="inlineStr">
        <is>
          <t>ROLE.MANAGE</t>
        </is>
      </c>
      <c r="L29" s="16" t="inlineStr"/>
      <c r="M29" s="17" t="inlineStr">
        <is>
          <t>Not Run</t>
        </is>
      </c>
      <c r="N29" s="17" t="inlineStr"/>
      <c r="O29" s="16" t="inlineStr"/>
      <c r="P29" s="16" t="inlineStr"/>
      <c r="Q29" s="16" t="inlineStr"/>
    </row>
    <row r="30">
      <c r="A30" s="18" t="inlineStr">
        <is>
          <t>IAM-028</t>
        </is>
      </c>
      <c r="B30" s="19" t="inlineStr">
        <is>
          <t>Roles</t>
        </is>
      </c>
      <c r="C30" s="19" t="inlineStr">
        <is>
          <t>ROLE.VIEW-only user cannot create or edit roles; edit route redirects to home</t>
        </is>
      </c>
      <c r="D30" s="8" t="inlineStr">
        <is>
          <t>Permission</t>
        </is>
      </c>
      <c r="E30" s="8" t="inlineStr">
        <is>
          <t>High</t>
        </is>
      </c>
      <c r="F30" s="19" t="inlineStr">
        <is>
          <t>A user holding ROLE.VIEW but NOT ROLE.MANAGE.</t>
        </is>
      </c>
      <c r="G30" s="19" t="inlineStr">
        <is>
          <t>1. Log in as the ROLE.VIEW-only user.
2. Navigate to /admin/roles (list loads).
3. Navigate directly to /admin/roles/uid/:uid (the edit screen).</t>
        </is>
      </c>
      <c r="H30" s="19" t="inlineStr">
        <is>
          <t>User: qa.roleviewer (ROLE.VIEW only)</t>
        </is>
      </c>
      <c r="I30" s="19" t="inlineStr">
        <is>
          <t>List loads. Create form/button is hidden. Direct navigation to the edit route redirects to /admin/home. PUT /api/v1/roles/uid/{uid}/permissions returns 403.</t>
        </is>
      </c>
      <c r="J30" s="19" t="inlineStr">
        <is>
          <t>/admin/roles</t>
        </is>
      </c>
      <c r="K30" s="19" t="inlineStr">
        <is>
          <t>ROLE.VIEW</t>
        </is>
      </c>
      <c r="L30" s="19" t="inlineStr"/>
      <c r="M30" s="8" t="inlineStr">
        <is>
          <t>Not Run</t>
        </is>
      </c>
      <c r="N30" s="8" t="inlineStr"/>
      <c r="O30" s="19" t="inlineStr"/>
      <c r="P30" s="19" t="inlineStr"/>
      <c r="Q30" s="19" t="inlineStr"/>
    </row>
    <row r="31">
      <c r="A31" s="15" t="inlineStr">
        <is>
          <t>IAM-029</t>
        </is>
      </c>
      <c r="B31" s="16" t="inlineStr">
        <is>
          <t>Role Assignment</t>
        </is>
      </c>
      <c r="C31" s="16" t="inlineStr">
        <is>
          <t>Grant a company-wide role to a user via pickers (no uid typed)</t>
        </is>
      </c>
      <c r="D31" s="17" t="inlineStr">
        <is>
          <t>Positive</t>
        </is>
      </c>
      <c r="E31" s="17" t="inlineStr">
        <is>
          <t>High</t>
        </is>
      </c>
      <c r="F31" s="16" t="inlineStr">
        <is>
          <t>Logged in as ORG_ADMIN (holds ROLE.MANAGE). Target user and role exist.</t>
        </is>
      </c>
      <c r="G31" s="16" t="inlineStr">
        <is>
          <t>1. Navigate to /admin/role-grants.
2. Choose user by display name (picker), role by name, company by name; leave branch blank.
3. Click Grant.</t>
        </is>
      </c>
      <c r="H31" s="16" t="inlineStr">
        <is>
          <t>user: New Clerk, role: Branch Supervisor, company: (active company name)</t>
        </is>
      </c>
      <c r="I31" s="16" t="inlineStr">
        <is>
          <t>POST /api/v1/user-roles returns 201 UserRoleDto with branchUid: null. Toast 'Role granted'. Grant appears when the user's grants are listed. No uid typed or shown during the process.</t>
        </is>
      </c>
      <c r="J31" s="16" t="inlineStr">
        <is>
          <t>/admin/role-grants</t>
        </is>
      </c>
      <c r="K31" s="16" t="inlineStr">
        <is>
          <t>ROLE.MANAGE</t>
        </is>
      </c>
      <c r="L31" s="16" t="inlineStr"/>
      <c r="M31" s="17" t="inlineStr">
        <is>
          <t>Not Run</t>
        </is>
      </c>
      <c r="N31" s="17" t="inlineStr"/>
      <c r="O31" s="16" t="inlineStr"/>
      <c r="P31" s="16" t="inlineStr"/>
      <c r="Q31" s="16" t="inlineStr"/>
    </row>
    <row r="32">
      <c r="A32" s="18" t="inlineStr">
        <is>
          <t>IAM-030</t>
        </is>
      </c>
      <c r="B32" s="19" t="inlineStr">
        <is>
          <t>Role Assignment</t>
        </is>
      </c>
      <c r="C32" s="19" t="inlineStr">
        <is>
          <t>Grant role scoped to a specific branch (branch picker loads on company selection)</t>
        </is>
      </c>
      <c r="D32" s="8" t="inlineStr">
        <is>
          <t>Positive</t>
        </is>
      </c>
      <c r="E32" s="8" t="inlineStr">
        <is>
          <t>High</t>
        </is>
      </c>
      <c r="F32" s="19" t="inlineStr">
        <is>
          <t>Logged in as ORG_ADMIN. Multi-branch company exists.</t>
        </is>
      </c>
      <c r="G32" s="19" t="inlineStr">
        <is>
          <t>1. Navigate to /admin/role-grants.
2. Pick user, role, company; after company selection the branch picker reloads.
3. Pick a branch by name; click Grant.</t>
        </is>
      </c>
      <c r="H32" s="19" t="inlineStr">
        <is>
          <t>user: New Clerk, role: Branch Supervisor, branch: Mwanza Depot</t>
        </is>
      </c>
      <c r="I32" s="19" t="inlineStr">
        <is>
          <t>201 with branchUid set to the chosen branch. Grant is effective only in that branch context. Branch selected by name — uid stored under the hood.</t>
        </is>
      </c>
      <c r="J32" s="19" t="inlineStr">
        <is>
          <t>/admin/role-grants</t>
        </is>
      </c>
      <c r="K32" s="19" t="inlineStr">
        <is>
          <t>ROLE.MANAGE</t>
        </is>
      </c>
      <c r="L32" s="19" t="inlineStr"/>
      <c r="M32" s="8" t="inlineStr">
        <is>
          <t>Not Run</t>
        </is>
      </c>
      <c r="N32" s="8" t="inlineStr"/>
      <c r="O32" s="19" t="inlineStr"/>
      <c r="P32" s="19" t="inlineStr"/>
      <c r="Q32" s="19" t="inlineStr"/>
    </row>
    <row r="33">
      <c r="A33" s="15" t="inlineStr">
        <is>
          <t>IAM-031</t>
        </is>
      </c>
      <c r="B33" s="16" t="inlineStr">
        <is>
          <t>Role Assignment</t>
        </is>
      </c>
      <c r="C33" s="16" t="inlineStr">
        <is>
          <t>Duplicate active grant rejected (same user/role/company/branch combination)</t>
        </is>
      </c>
      <c r="D33" s="17" t="inlineStr">
        <is>
          <t>Negative</t>
        </is>
      </c>
      <c r="E33" s="17" t="inlineStr">
        <is>
          <t>Medium</t>
        </is>
      </c>
      <c r="F33" s="16" t="inlineStr">
        <is>
          <t>An existing active grant for a user+role+company+branch combination.</t>
        </is>
      </c>
      <c r="G33" s="16" t="inlineStr">
        <is>
          <t>1. Navigate to /admin/role-grants.
2. Attempt to re-grant the exact same combination.</t>
        </is>
      </c>
      <c r="H33" s="16" t="inlineStr">
        <is>
          <t>Same user, role, company, branch as an existing active grant</t>
        </is>
      </c>
      <c r="I33" s="16" t="inlineStr">
        <is>
          <t>409 'Active grant already exists for this user/role/company/branch combination.' Inline form error. No duplicate row created.</t>
        </is>
      </c>
      <c r="J33" s="16" t="inlineStr">
        <is>
          <t>/admin/role-grants</t>
        </is>
      </c>
      <c r="K33" s="16" t="inlineStr">
        <is>
          <t>ROLE.MANAGE</t>
        </is>
      </c>
      <c r="L33" s="16" t="inlineStr"/>
      <c r="M33" s="17" t="inlineStr">
        <is>
          <t>Not Run</t>
        </is>
      </c>
      <c r="N33" s="17" t="inlineStr"/>
      <c r="O33" s="16" t="inlineStr"/>
      <c r="P33" s="16" t="inlineStr"/>
      <c r="Q33" s="16" t="inlineStr"/>
    </row>
    <row r="34">
      <c r="A34" s="18" t="inlineStr">
        <is>
          <t>IAM-032</t>
        </is>
      </c>
      <c r="B34" s="19" t="inlineStr">
        <is>
          <t>Role Assignment</t>
        </is>
      </c>
      <c r="C34" s="19" t="inlineStr">
        <is>
          <t>Revoke a role grant; grantee's effective permissions drop</t>
        </is>
      </c>
      <c r="D34" s="8" t="inlineStr">
        <is>
          <t>Positive</t>
        </is>
      </c>
      <c r="E34" s="8" t="inlineStr">
        <is>
          <t>High</t>
        </is>
      </c>
      <c r="F34" s="19" t="inlineStr">
        <is>
          <t>Logged in as ORG_ADMIN. A grant exists for a target user.</t>
        </is>
      </c>
      <c r="G34" s="19" t="inlineStr">
        <is>
          <t>1. Navigate to /admin/role-grants; look up grants for the target user.
2. On a grant row, click Revoke.
3. Have the target user call GET /api/v1/customers to verify permission loss.</t>
        </is>
      </c>
      <c r="H34" s="19" t="inlineStr">
        <is>
          <t>Target user with an active grant</t>
        </is>
      </c>
      <c r="I34" s="19" t="inlineStr">
        <is>
          <t>DELETE /api/v1/user-roles/uid/{uid} returns 204. Row removed from list on reload. Target user immediately loses the revoked permissions (cache invalidated). Their subsequent API call returns 403.</t>
        </is>
      </c>
      <c r="J34" s="19" t="inlineStr">
        <is>
          <t>/admin/role-grants</t>
        </is>
      </c>
      <c r="K34" s="19" t="inlineStr">
        <is>
          <t>ROLE.MANAGE</t>
        </is>
      </c>
      <c r="L34" s="19" t="inlineStr"/>
      <c r="M34" s="8" t="inlineStr">
        <is>
          <t>Not Run</t>
        </is>
      </c>
      <c r="N34" s="8" t="inlineStr"/>
      <c r="O34" s="19" t="inlineStr"/>
      <c r="P34" s="19" t="inlineStr"/>
      <c r="Q34" s="19" t="inlineStr"/>
    </row>
    <row r="35">
      <c r="A35" s="15" t="inlineStr">
        <is>
          <t>IAM-033</t>
        </is>
      </c>
      <c r="B35" s="16" t="inlineStr">
        <is>
          <t>Role Assignment</t>
        </is>
      </c>
      <c r="C35" s="16" t="inlineStr">
        <is>
          <t>Cross-tenant role grant denied (ScopeGuard): acting in Company A cannot grant in Company B</t>
        </is>
      </c>
      <c r="D35" s="17" t="inlineStr">
        <is>
          <t>Permission</t>
        </is>
      </c>
      <c r="E35" s="17" t="inlineStr">
        <is>
          <t>High</t>
        </is>
      </c>
      <c r="F35" s="16" t="inlineStr">
        <is>
          <t>Two companies A and B. Non-root ORG_ADMIN scoped to Company A. Company B has a grant to revoke.</t>
        </is>
      </c>
      <c r="G35" s="16" t="inlineStr">
        <is>
          <t>1. Log in as Company A's admin (active company = A).
2. POST /api/v1/user-roles with companyUid = Company B.
3. DELETE a Company-B grant uid.</t>
        </is>
      </c>
      <c r="H35" s="16" t="inlineStr">
        <is>
          <t>companyUid: Company B's uid</t>
        </is>
      </c>
      <c r="I35" s="16" t="inlineStr">
        <is>
          <t>Both calls return 403. ScopeGuard.assertCanActIn denies cross-company action. rootadmin performing the same action succeeds and emits a ROOT.BYPASS audit row.</t>
        </is>
      </c>
      <c r="J35" s="16" t="inlineStr">
        <is>
          <t>/admin/role-grants</t>
        </is>
      </c>
      <c r="K35" s="16" t="inlineStr">
        <is>
          <t>ROLE.MANAGE</t>
        </is>
      </c>
      <c r="L35" s="16" t="inlineStr"/>
      <c r="M35" s="17" t="inlineStr">
        <is>
          <t>Not Run</t>
        </is>
      </c>
      <c r="N35" s="17" t="inlineStr"/>
      <c r="O35" s="16" t="inlineStr"/>
      <c r="P35" s="16" t="inlineStr"/>
      <c r="Q35" s="16" t="inlineStr"/>
    </row>
    <row r="36">
      <c r="A36" s="18" t="inlineStr">
        <is>
          <t>IAM-034</t>
        </is>
      </c>
      <c r="B36" s="19" t="inlineStr">
        <is>
          <t>Branch Assignment</t>
        </is>
      </c>
      <c r="C36" s="19" t="inlineStr">
        <is>
          <t>Assign a user to a branch (non-default) via the user-detail panel</t>
        </is>
      </c>
      <c r="D36" s="8" t="inlineStr">
        <is>
          <t>Positive</t>
        </is>
      </c>
      <c r="E36" s="8" t="inlineStr">
        <is>
          <t>High</t>
        </is>
      </c>
      <c r="F36" s="19" t="inlineStr">
        <is>
          <t>Logged in as ORG_ADMIN (holds BRANCH.ASSIGN). A user with no branch assignment and a company with branches exist.</t>
        </is>
      </c>
      <c r="G36" s="19" t="inlineStr">
        <is>
          <t>1. Navigate to /admin/users/uid/:uid.
2. In the Branch panel: pick company by name, then pick branch by name; leave make-default unchecked.
3. Click Assign.</t>
        </is>
      </c>
      <c r="H36" s="19" t="inlineStr">
        <is>
          <t>Branch: HQ</t>
        </is>
      </c>
      <c r="I36" s="19" t="inlineStr">
        <is>
          <t>POST /api/v1/user-branches returns 201. Branch appears in the user's assignments by name. No uid typed or shown.</t>
        </is>
      </c>
      <c r="J36" s="19" t="inlineStr">
        <is>
          <t>/admin/users/uid/:uid</t>
        </is>
      </c>
      <c r="K36" s="19" t="inlineStr">
        <is>
          <t>BRANCH.ASSIGN</t>
        </is>
      </c>
      <c r="L36" s="19" t="inlineStr"/>
      <c r="M36" s="8" t="inlineStr">
        <is>
          <t>Not Run</t>
        </is>
      </c>
      <c r="N36" s="8" t="inlineStr"/>
      <c r="O36" s="19" t="inlineStr"/>
      <c r="P36" s="19" t="inlineStr"/>
      <c r="Q36" s="19" t="inlineStr"/>
    </row>
    <row r="37">
      <c r="A37" s="15" t="inlineStr">
        <is>
          <t>IAM-035</t>
        </is>
      </c>
      <c r="B37" s="16" t="inlineStr">
        <is>
          <t>Branch Assignment</t>
        </is>
      </c>
      <c r="C37" s="16" t="inlineStr">
        <is>
          <t>Assign branch with make-default=true clears the prior default (one-default invariant)</t>
        </is>
      </c>
      <c r="D37" s="17" t="inlineStr">
        <is>
          <t>Positive</t>
        </is>
      </c>
      <c r="E37" s="17" t="inlineStr">
        <is>
          <t>High</t>
        </is>
      </c>
      <c r="F37" s="16" t="inlineStr">
        <is>
          <t>Logged in as ORG_ADMIN. User already has Branch X as default.</t>
        </is>
      </c>
      <c r="G37" s="16" t="inlineStr">
        <is>
          <t>1. Navigate to /admin/users/uid/:uid.
2. Assign Branch Y with make-default checked.</t>
        </is>
      </c>
      <c r="H37" s="16" t="inlineStr">
        <is>
          <t>Branch Y: Mwanza Depot</t>
        </is>
      </c>
      <c r="I37" s="16" t="inlineStr">
        <is>
          <t>201 returned. Branch Y becomes the single default. Branch X's default flag is cleared. Only one row shows 'Default'. The DB partial unique index enforces at most one default.</t>
        </is>
      </c>
      <c r="J37" s="16" t="inlineStr">
        <is>
          <t>/admin/users/uid/:uid</t>
        </is>
      </c>
      <c r="K37" s="16" t="inlineStr">
        <is>
          <t>BRANCH.ASSIGN</t>
        </is>
      </c>
      <c r="L37" s="16" t="inlineStr"/>
      <c r="M37" s="17" t="inlineStr">
        <is>
          <t>Not Run</t>
        </is>
      </c>
      <c r="N37" s="17" t="inlineStr"/>
      <c r="O37" s="16" t="inlineStr"/>
      <c r="P37" s="16" t="inlineStr"/>
      <c r="Q37" s="16" t="inlineStr"/>
    </row>
    <row r="38">
      <c r="A38" s="18" t="inlineStr">
        <is>
          <t>IAM-036</t>
        </is>
      </c>
      <c r="B38" s="19" t="inlineStr">
        <is>
          <t>Branch Assignment</t>
        </is>
      </c>
      <c r="C38" s="19" t="inlineStr">
        <is>
          <t>Set an existing assignment as the new default</t>
        </is>
      </c>
      <c r="D38" s="8" t="inlineStr">
        <is>
          <t>Positive</t>
        </is>
      </c>
      <c r="E38" s="8" t="inlineStr">
        <is>
          <t>High</t>
        </is>
      </c>
      <c r="F38" s="19" t="inlineStr">
        <is>
          <t>Logged in as ORG_ADMIN. User has multiple branch assignments.</t>
        </is>
      </c>
      <c r="G38" s="19" t="inlineStr">
        <is>
          <t>1. Navigate to /admin/users/uid/:uid.
2. On a non-default assignment row, click Set default.</t>
        </is>
      </c>
      <c r="H38" s="19" t="inlineStr">
        <is>
          <t>User with branches: HQ (default), Mwanza (non-default)</t>
        </is>
      </c>
      <c r="I38" s="19" t="inlineStr">
        <is>
          <t>PUT /api/v1/user-branches/uid/{uid}/default returns 200. Mwanza becomes Default. HQ loses its Default flag. Exactly one Default at all times.</t>
        </is>
      </c>
      <c r="J38" s="19" t="inlineStr">
        <is>
          <t>/admin/users/uid/:uid</t>
        </is>
      </c>
      <c r="K38" s="19" t="inlineStr">
        <is>
          <t>BRANCH.ASSIGN</t>
        </is>
      </c>
      <c r="L38" s="19" t="inlineStr"/>
      <c r="M38" s="8" t="inlineStr">
        <is>
          <t>Not Run</t>
        </is>
      </c>
      <c r="N38" s="8" t="inlineStr"/>
      <c r="O38" s="19" t="inlineStr"/>
      <c r="P38" s="19" t="inlineStr"/>
      <c r="Q38" s="19" t="inlineStr"/>
    </row>
    <row r="39">
      <c r="A39" s="15" t="inlineStr">
        <is>
          <t>IAM-037</t>
        </is>
      </c>
      <c r="B39" s="16" t="inlineStr">
        <is>
          <t>Branch Assignment</t>
        </is>
      </c>
      <c r="C39" s="16" t="inlineStr">
        <is>
          <t>Remove a branch assignment; default auto-falls back to earliest remaining assignment</t>
        </is>
      </c>
      <c r="D39" s="17" t="inlineStr">
        <is>
          <t>Positive</t>
        </is>
      </c>
      <c r="E39" s="17" t="inlineStr">
        <is>
          <t>High</t>
        </is>
      </c>
      <c r="F39" s="16" t="inlineStr">
        <is>
          <t>Logged in as ORG_ADMIN. User has Branch X (default), Branch Y and Z.</t>
        </is>
      </c>
      <c r="G39" s="16" t="inlineStr">
        <is>
          <t>1. Navigate to /admin/users/uid/:uid.
2. Remove Branch X (the current default).</t>
        </is>
      </c>
      <c r="H39" s="16" t="inlineStr">
        <is>
          <t>User with 3 branches; X is default</t>
        </is>
      </c>
      <c r="I39" s="16" t="inlineStr">
        <is>
          <t>DELETE /api/v1/user-branches/uid/{uid} returns 204. Branch X removed. The earliest-assigned remaining branch (Y or Z) becomes the new default. If removing the last branch the user has no default on next login (hasBranch: false).</t>
        </is>
      </c>
      <c r="J39" s="16" t="inlineStr">
        <is>
          <t>/admin/users/uid/:uid</t>
        </is>
      </c>
      <c r="K39" s="16" t="inlineStr">
        <is>
          <t>BRANCH.ASSIGN</t>
        </is>
      </c>
      <c r="L39" s="16" t="inlineStr"/>
      <c r="M39" s="17" t="inlineStr">
        <is>
          <t>Not Run</t>
        </is>
      </c>
      <c r="N39" s="17" t="inlineStr"/>
      <c r="O39" s="16" t="inlineStr"/>
      <c r="P39" s="16" t="inlineStr"/>
      <c r="Q39" s="16" t="inlineStr"/>
    </row>
    <row r="40">
      <c r="A40" s="18" t="inlineStr">
        <is>
          <t>IAM-038</t>
        </is>
      </c>
      <c r="B40" s="19" t="inlineStr">
        <is>
          <t>Branch Assignment</t>
        </is>
      </c>
      <c r="C40" s="19" t="inlineStr">
        <is>
          <t>Branch assignment list requires USER.VIEW; assign/set-default/remove require BRANCH.ASSIGN</t>
        </is>
      </c>
      <c r="D40" s="8" t="inlineStr">
        <is>
          <t>Permission</t>
        </is>
      </c>
      <c r="E40" s="8" t="inlineStr">
        <is>
          <t>Medium</t>
        </is>
      </c>
      <c r="F40" s="19" t="inlineStr">
        <is>
          <t>Two users: one with USER.VIEW only, one with BRANCH.ASSIGN only.</t>
        </is>
      </c>
      <c r="G40" s="19" t="inlineStr">
        <is>
          <t>1. Log in as USER.VIEW-only user; open /admin/users/uid/:uid — branch list loads.
2. Attempt Assign, Set default, Remove actions.
3. Log out; log in as BRANCH.ASSIGN-only user (lacks USER.VIEW); attempt to open the page.</t>
        </is>
      </c>
      <c r="H40" s="19" t="inlineStr">
        <is>
          <t>qa.viewer (USER.VIEW), qa.assigner (BRANCH.ASSIGN only)</t>
        </is>
      </c>
      <c r="I40" s="19" t="inlineStr">
        <is>
          <t>USER.VIEW-only: list loads; management actions hidden/return 403. BRANCH.ASSIGN-only without USER.VIEW: page guarded away (or sub-list returns 403 on GET /user-branches).</t>
        </is>
      </c>
      <c r="J40" s="19" t="inlineStr">
        <is>
          <t>/admin/users/uid/:uid</t>
        </is>
      </c>
      <c r="K40" s="19" t="inlineStr">
        <is>
          <t>BRANCH.ASSIGN</t>
        </is>
      </c>
      <c r="L40" s="19" t="inlineStr"/>
      <c r="M40" s="8" t="inlineStr">
        <is>
          <t>Not Run</t>
        </is>
      </c>
      <c r="N40" s="8" t="inlineStr"/>
      <c r="O40" s="19" t="inlineStr"/>
      <c r="P40" s="19" t="inlineStr"/>
      <c r="Q40" s="19" t="inlineStr"/>
    </row>
    <row r="41">
      <c r="A41" s="15" t="inlineStr">
        <is>
          <t>IAM-039</t>
        </is>
      </c>
      <c r="B41" s="16" t="inlineStr">
        <is>
          <t>Branch Assignment</t>
        </is>
      </c>
      <c r="C41" s="16" t="inlineStr">
        <is>
          <t>Cross-tenant branch assign denied; acting in unassigned branch via forged X-Branch-Uid denied</t>
        </is>
      </c>
      <c r="D41" s="17" t="inlineStr">
        <is>
          <t>Permission</t>
        </is>
      </c>
      <c r="E41" s="17" t="inlineStr">
        <is>
          <t>High</t>
        </is>
      </c>
      <c r="F41" s="16" t="inlineStr">
        <is>
          <t>Non-root BRANCH.ASSIGN admin active in Company A. A Company B branch exists.</t>
        </is>
      </c>
      <c r="G41" s="16" t="inlineStr">
        <is>
          <t>1. POST /api/v1/user-branches with a Company-B branchUid.
2. Send a request with X-Branch-Uid set to a branch NOT in the user's my-branches.</t>
        </is>
      </c>
      <c r="H41" s="16" t="inlineStr">
        <is>
          <t>Company B branch uid (out-of-scope)</t>
        </is>
      </c>
      <c r="I41" s="16" t="inlineStr">
        <is>
          <t>Step 1: 403 via @perm.scoped scope check. Step 2: 403 — the filter rejects the override. The branch selector never offers out-of-scope branches to this user.</t>
        </is>
      </c>
      <c r="J41" s="16" t="inlineStr">
        <is>
          <t>/admin/users/uid/:uid</t>
        </is>
      </c>
      <c r="K41" s="16" t="inlineStr">
        <is>
          <t>BRANCH.ASSIGN</t>
        </is>
      </c>
      <c r="L41" s="16" t="inlineStr"/>
      <c r="M41" s="17" t="inlineStr">
        <is>
          <t>Not Run</t>
        </is>
      </c>
      <c r="N41" s="17" t="inlineStr"/>
      <c r="O41" s="16" t="inlineStr"/>
      <c r="P41" s="16" t="inlineStr"/>
      <c r="Q41" s="16" t="inlineStr"/>
    </row>
    <row r="42">
      <c r="A42" s="18" t="inlineStr">
        <is>
          <t>IAM-040</t>
        </is>
      </c>
      <c r="B42" s="19" t="inlineStr">
        <is>
          <t>Companies &amp; Branches</t>
        </is>
      </c>
      <c r="C42" s="19" t="inlineStr">
        <is>
          <t>Create a company under the organisation</t>
        </is>
      </c>
      <c r="D42" s="8" t="inlineStr">
        <is>
          <t>Positive</t>
        </is>
      </c>
      <c r="E42" s="8" t="inlineStr">
        <is>
          <t>High</t>
        </is>
      </c>
      <c r="F42" s="19" t="inlineStr">
        <is>
          <t>Logged in as ORG_ADMIN (holds COMPANY.MANAGE).</t>
        </is>
      </c>
      <c r="G42" s="19" t="inlineStr">
        <is>
          <t>1. Navigate to /admin/companies.
2. Fill create form: code and name (org resolved automatically).
3. Submit.</t>
        </is>
      </c>
      <c r="H42" s="19" t="inlineStr">
        <is>
          <t>code: C2, name: Second Co Ltd</t>
        </is>
      </c>
      <c r="I42" s="19" t="inlineStr">
        <is>
          <t>POST /api/v1/companies returns 201 CompanyDto (status ACTIVE). Row appears. organisationUid taken from the resolved org — never typed. Duplicate code within the org returns 409.</t>
        </is>
      </c>
      <c r="J42" s="19" t="inlineStr">
        <is>
          <t>/admin/companies</t>
        </is>
      </c>
      <c r="K42" s="19" t="inlineStr">
        <is>
          <t>COMPANY.MANAGE</t>
        </is>
      </c>
      <c r="L42" s="19" t="inlineStr"/>
      <c r="M42" s="8" t="inlineStr">
        <is>
          <t>Not Run</t>
        </is>
      </c>
      <c r="N42" s="8" t="inlineStr"/>
      <c r="O42" s="19" t="inlineStr"/>
      <c r="P42" s="19" t="inlineStr"/>
      <c r="Q42" s="19" t="inlineStr"/>
    </row>
    <row r="43">
      <c r="A43" s="15" t="inlineStr">
        <is>
          <t>IAM-041</t>
        </is>
      </c>
      <c r="B43" s="16" t="inlineStr">
        <is>
          <t>Companies &amp; Branches</t>
        </is>
      </c>
      <c r="C43" s="16" t="inlineStr">
        <is>
          <t>Create a branch under a company; first branch becomes default automatically</t>
        </is>
      </c>
      <c r="D43" s="17" t="inlineStr">
        <is>
          <t>Positive</t>
        </is>
      </c>
      <c r="E43" s="17" t="inlineStr">
        <is>
          <t>High</t>
        </is>
      </c>
      <c r="F43" s="16" t="inlineStr">
        <is>
          <t>Logged in as ORG_ADMIN (holds BRANCH.MANAGE). A company exists.</t>
        </is>
      </c>
      <c r="G43" s="16" t="inlineStr">
        <is>
          <t>1. From /admin/companies, click the company to open /admin/companies/:companyUid/branches.
2. Fill create form: code, name; leave make-default unchecked.
3. Submit.</t>
        </is>
      </c>
      <c r="H43" s="16" t="inlineStr">
        <is>
          <t>code: BR2, name: Mwanza Branch</t>
        </is>
      </c>
      <c r="I43" s="16" t="inlineStr">
        <is>
          <t>POST /api/v1/branches returns 201 BranchDto (status ACTIVE). List reloads. companyUid comes from the route — not typed. Duplicate branch code within company returns 409.</t>
        </is>
      </c>
      <c r="J43" s="16" t="inlineStr">
        <is>
          <t>/admin/companies/:companyUid/branches</t>
        </is>
      </c>
      <c r="K43" s="16" t="inlineStr">
        <is>
          <t>BRANCH.MANAGE</t>
        </is>
      </c>
      <c r="L43" s="16" t="inlineStr"/>
      <c r="M43" s="17" t="inlineStr">
        <is>
          <t>Not Run</t>
        </is>
      </c>
      <c r="N43" s="17" t="inlineStr"/>
      <c r="O43" s="16" t="inlineStr"/>
      <c r="P43" s="16" t="inlineStr"/>
      <c r="Q43" s="16" t="inlineStr"/>
    </row>
    <row r="44">
      <c r="A44" s="18" t="inlineStr">
        <is>
          <t>IAM-042</t>
        </is>
      </c>
      <c r="B44" s="19" t="inlineStr">
        <is>
          <t>Companies &amp; Branches</t>
        </is>
      </c>
      <c r="C44" s="19" t="inlineStr">
        <is>
          <t>Set a branch as company default (clears previous default; one-default-per-company)</t>
        </is>
      </c>
      <c r="D44" s="8" t="inlineStr">
        <is>
          <t>Positive</t>
        </is>
      </c>
      <c r="E44" s="8" t="inlineStr">
        <is>
          <t>High</t>
        </is>
      </c>
      <c r="F44" s="19" t="inlineStr">
        <is>
          <t>Logged in as ORG_ADMIN. Multi-branch company exists.</t>
        </is>
      </c>
      <c r="G44" s="19" t="inlineStr">
        <is>
          <t>1. Navigate to /admin/companies/:companyUid/branches.
2. On a non-default branch, click Set default.</t>
        </is>
      </c>
      <c r="H44" s="19" t="inlineStr">
        <is>
          <t>Branch: Mwanza Branch (non-default)</t>
        </is>
      </c>
      <c r="I44" s="19" t="inlineStr">
        <is>
          <t>PUT /api/v1/branches/uid/{uid}/default returns 200. Mwanza becomes default; previous default is cleared. Exactly one Default flag in the list.</t>
        </is>
      </c>
      <c r="J44" s="19" t="inlineStr">
        <is>
          <t>/admin/companies/:companyUid/branches</t>
        </is>
      </c>
      <c r="K44" s="19" t="inlineStr">
        <is>
          <t>BRANCH.MANAGE</t>
        </is>
      </c>
      <c r="L44" s="19" t="inlineStr"/>
      <c r="M44" s="8" t="inlineStr">
        <is>
          <t>Not Run</t>
        </is>
      </c>
      <c r="N44" s="8" t="inlineStr"/>
      <c r="O44" s="19" t="inlineStr"/>
      <c r="P44" s="19" t="inlineStr"/>
      <c r="Q44" s="19" t="inlineStr"/>
    </row>
    <row r="45">
      <c r="A45" s="15" t="inlineStr">
        <is>
          <t>IAM-043</t>
        </is>
      </c>
      <c r="B45" s="16" t="inlineStr">
        <is>
          <t>Companies &amp; Branches</t>
        </is>
      </c>
      <c r="C45" s="16" t="inlineStr">
        <is>
          <t>Archive a branch (soft-delete); archived branch disappears from my-branches switcher</t>
        </is>
      </c>
      <c r="D45" s="17" t="inlineStr">
        <is>
          <t>Positive</t>
        </is>
      </c>
      <c r="E45" s="17" t="inlineStr">
        <is>
          <t>Medium</t>
        </is>
      </c>
      <c r="F45" s="16" t="inlineStr">
        <is>
          <t>Logged in as ORG_ADMIN. A non-default branch exists.</t>
        </is>
      </c>
      <c r="G45" s="16" t="inlineStr">
        <is>
          <t>1. Navigate to /admin/companies/:companyUid/branches.
2. Archive a non-default branch.
3. Log in as a user assigned to that branch and open the branch switcher.</t>
        </is>
      </c>
      <c r="H45" s="16" t="inlineStr">
        <is>
          <t>Branch: Mwanza Branch (non-default)</t>
        </is>
      </c>
      <c r="I45" s="16" t="inlineStr">
        <is>
          <t>DELETE /api/v1/branches/uid/{uid} returns 204. Branch status → ARCHIVED (not removed). Archived branch no longer appears in the branch switcher (my-branches) for any user.</t>
        </is>
      </c>
      <c r="J45" s="16" t="inlineStr">
        <is>
          <t>/admin/companies/:companyUid/branches</t>
        </is>
      </c>
      <c r="K45" s="16" t="inlineStr">
        <is>
          <t>BRANCH.MANAGE</t>
        </is>
      </c>
      <c r="L45" s="16" t="inlineStr"/>
      <c r="M45" s="17" t="inlineStr">
        <is>
          <t>Not Run</t>
        </is>
      </c>
      <c r="N45" s="17" t="inlineStr"/>
      <c r="O45" s="16" t="inlineStr"/>
      <c r="P45" s="16" t="inlineStr"/>
      <c r="Q45" s="16" t="inlineStr"/>
    </row>
    <row r="46">
      <c r="A46" s="18" t="inlineStr">
        <is>
          <t>IAM-044</t>
        </is>
      </c>
      <c r="B46" s="19" t="inlineStr">
        <is>
          <t>Companies &amp; Branches</t>
        </is>
      </c>
      <c r="C46" s="19" t="inlineStr">
        <is>
          <t>Cross-tenant company/branch access denied for non-root admin</t>
        </is>
      </c>
      <c r="D46" s="8" t="inlineStr">
        <is>
          <t>Permission</t>
        </is>
      </c>
      <c r="E46" s="8" t="inlineStr">
        <is>
          <t>High</t>
        </is>
      </c>
      <c r="F46" s="19" t="inlineStr">
        <is>
          <t>Non-root ORG_ADMIN active in Company A. Company B's uid is known.</t>
        </is>
      </c>
      <c r="G46" s="19" t="inlineStr">
        <is>
          <t>1. GET /api/v1/companies/uid/{B-uid} as Company A admin.
2. GET /api/v1/branches?companyUid={B-uid} as Company A admin.</t>
        </is>
      </c>
      <c r="H46" s="19" t="inlineStr">
        <is>
          <t>Company B uid, Company B branch uid</t>
        </is>
      </c>
      <c r="I46" s="19" t="inlineStr">
        <is>
          <t>Both return 403 (@perm.scoped enforces active-company scope). Company B data never appears in Company A admin's lists. rootadmin can access both companies.</t>
        </is>
      </c>
      <c r="J46" s="19" t="inlineStr">
        <is>
          <t>/admin/companies</t>
        </is>
      </c>
      <c r="K46" s="19" t="inlineStr">
        <is>
          <t>COMPANY.VIEW</t>
        </is>
      </c>
      <c r="L46" s="19" t="inlineStr"/>
      <c r="M46" s="8" t="inlineStr">
        <is>
          <t>Not Run</t>
        </is>
      </c>
      <c r="N46" s="8" t="inlineStr"/>
      <c r="O46" s="19" t="inlineStr"/>
      <c r="P46" s="19" t="inlineStr"/>
      <c r="Q46" s="19" t="inlineStr"/>
    </row>
    <row r="47">
      <c r="A47" s="15" t="inlineStr">
        <is>
          <t>IAM-045</t>
        </is>
      </c>
      <c r="B47" s="16" t="inlineStr">
        <is>
          <t>Companies &amp; Branches</t>
        </is>
      </c>
      <c r="C47" s="16" t="inlineStr">
        <is>
          <t>COMPANY.VIEW-only user cannot create/edit/archive companies</t>
        </is>
      </c>
      <c r="D47" s="17" t="inlineStr">
        <is>
          <t>Permission</t>
        </is>
      </c>
      <c r="E47" s="17" t="inlineStr">
        <is>
          <t>High</t>
        </is>
      </c>
      <c r="F47" s="16" t="inlineStr">
        <is>
          <t>A user holding COMPANY.VIEW but NOT COMPANY.MANAGE.</t>
        </is>
      </c>
      <c r="G47" s="16" t="inlineStr">
        <is>
          <t>1. Log in as the view-only user.
2. Navigate to /admin/companies (list loads).
3. Attempt to use the create form or any edit/archive action.</t>
        </is>
      </c>
      <c r="H47" s="16" t="inlineStr">
        <is>
          <t>qa.companyviewer (COMPANY.VIEW only)</t>
        </is>
      </c>
      <c r="I47" s="16" t="inlineStr">
        <is>
          <t>List renders. Create form and edit/archive actions are hidden. Forced POST /api/v1/companies returns 403.</t>
        </is>
      </c>
      <c r="J47" s="16" t="inlineStr">
        <is>
          <t>/admin/companies</t>
        </is>
      </c>
      <c r="K47" s="16" t="inlineStr">
        <is>
          <t>COMPANY.VIEW</t>
        </is>
      </c>
      <c r="L47" s="16" t="inlineStr"/>
      <c r="M47" s="17" t="inlineStr">
        <is>
          <t>Not Run</t>
        </is>
      </c>
      <c r="N47" s="17" t="inlineStr"/>
      <c r="O47" s="16" t="inlineStr"/>
      <c r="P47" s="16" t="inlineStr"/>
      <c r="Q47" s="16" t="inlineStr"/>
    </row>
    <row r="48">
      <c r="A48" s="18" t="inlineStr">
        <is>
          <t>IAM-046</t>
        </is>
      </c>
      <c r="B48" s="19" t="inlineStr">
        <is>
          <t>Companies &amp; Branches</t>
        </is>
      </c>
      <c r="C48" s="19" t="inlineStr">
        <is>
          <t>rootadmin bypass: can perform every IAM action across all companies; ROOT.BYPASS audit row written</t>
        </is>
      </c>
      <c r="D48" s="8" t="inlineStr">
        <is>
          <t>Positive</t>
        </is>
      </c>
      <c r="E48" s="8" t="inlineStr">
        <is>
          <t>High</t>
        </is>
      </c>
      <c r="F48" s="19" t="inlineStr">
        <is>
          <t>rootadmin. Two companies A and B. AUDIT.VIEW to inspect the audit log.</t>
        </is>
      </c>
      <c r="G48" s="19" t="inlineStr">
        <is>
          <t>1. Log in as rootadmin (active company = A).
2. Perform an action on Company B's resource (e.g. edit Company B or a Company B branch).
3. Open /admin/audit and filter by action ROOT.BYPASS.</t>
        </is>
      </c>
      <c r="H48" s="19" t="inlineStr">
        <is>
          <t>rootadmin; Company B resource</t>
        </is>
      </c>
      <c r="I48" s="19" t="inlineStr">
        <is>
          <t>The cross-company action succeeds. A ROOT.BYPASS audit row exists with target_type 'companies' and the acting/target company ids. Actions within the active company do NOT produce a ROOT.BYPASS row.</t>
        </is>
      </c>
      <c r="J48" s="19" t="inlineStr">
        <is>
          <t>/admin/audit</t>
        </is>
      </c>
      <c r="K48" s="19" t="inlineStr">
        <is>
          <t>AUDIT.VIEW</t>
        </is>
      </c>
      <c r="L48" s="19" t="inlineStr"/>
      <c r="M48" s="8" t="inlineStr">
        <is>
          <t>Not Run</t>
        </is>
      </c>
      <c r="N48" s="8" t="inlineStr"/>
      <c r="O48" s="19" t="inlineStr"/>
      <c r="P48" s="19" t="inlineStr"/>
      <c r="Q48" s="19" t="inlineStr"/>
    </row>
    <row r="49">
      <c r="A49" s="15" t="inlineStr">
        <is>
          <t>IAM-047</t>
        </is>
      </c>
      <c r="B49" s="16" t="inlineStr">
        <is>
          <t>Companies &amp; Branches</t>
        </is>
      </c>
      <c r="C49" s="16" t="inlineStr">
        <is>
          <t>rootadmin cannot be disabled via the API (409 safeguard)</t>
        </is>
      </c>
      <c r="D49" s="17" t="inlineStr">
        <is>
          <t>Edge</t>
        </is>
      </c>
      <c r="E49" s="17" t="inlineStr">
        <is>
          <t>High</t>
        </is>
      </c>
      <c r="F49" s="16" t="inlineStr">
        <is>
          <t>Logged in as ORG_ADMIN with USER.MANAGE.</t>
        </is>
      </c>
      <c r="G49" s="16" t="inlineStr">
        <is>
          <t>1. Call PUT /api/v1/users/uid/{rootadmin-uid}/disable directly.</t>
        </is>
      </c>
      <c r="H49" s="16" t="inlineStr">
        <is>
          <t>rootadmin uid</t>
        </is>
      </c>
      <c r="I49" s="16" t="inlineStr">
        <is>
          <t>409 'A root administrator cannot be disabled via the API.' No status change. The Disable action is not rendered for root users in the UI.</t>
        </is>
      </c>
      <c r="J49" s="16" t="inlineStr">
        <is>
          <t>/admin/users</t>
        </is>
      </c>
      <c r="K49" s="16" t="inlineStr">
        <is>
          <t>USER.MANAGE</t>
        </is>
      </c>
      <c r="L49" s="16" t="inlineStr"/>
      <c r="M49" s="17" t="inlineStr">
        <is>
          <t>Not Run</t>
        </is>
      </c>
      <c r="N49" s="17" t="inlineStr"/>
      <c r="O49" s="16" t="inlineStr"/>
      <c r="P49" s="16" t="inlineStr"/>
      <c r="Q49" s="16" t="inlineStr"/>
    </row>
  </sheetData>
  <autoFilter ref="A2:Q49"/>
  <mergeCells count="1">
    <mergeCell ref="A1:Q1"/>
  </mergeCells>
  <dataValidations count="4">
    <dataValidation sqref="D3:D49" showDropDown="0" showInputMessage="0" showErrorMessage="0" allowBlank="1" type="list">
      <formula1>"Positive,Negative,Permission,Edge"</formula1>
    </dataValidation>
    <dataValidation sqref="E3:E49" showDropDown="0" showInputMessage="0" showErrorMessage="0" allowBlank="1" type="list">
      <formula1>"High,Medium,Low"</formula1>
    </dataValidation>
    <dataValidation sqref="M3:M49" showDropDown="0" showInputMessage="0" showErrorMessage="0" allowBlank="1" type="list">
      <formula1>"Not Run,Pass,Fail,Blocked,N/A"</formula1>
    </dataValidation>
    <dataValidation sqref="N3:N49"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2"/>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RBAC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RBAC-001</t>
        </is>
      </c>
      <c r="B3" s="16" t="inlineStr">
        <is>
          <t>Role Bundles</t>
        </is>
      </c>
      <c r="C3" s="16" t="inlineStr">
        <is>
          <t>/auth/me returns correct effective permission set per role</t>
        </is>
      </c>
      <c r="D3" s="17" t="inlineStr">
        <is>
          <t>Positive</t>
        </is>
      </c>
      <c r="E3" s="17" t="inlineStr">
        <is>
          <t>High</t>
        </is>
      </c>
      <c r="F3" s="16" t="inlineStr">
        <is>
          <t>Operational role bundles seeded for: ORG_ADMIN, SALES_MANAGER, SALES_REP, ACCOUNTANT, STOREKEEPER, PURCHASE_OFFICER, CUSTOM (CUSTOMER.VIEW+PRODUCT.VIEW only), NO-PERM.</t>
        </is>
      </c>
      <c r="G3" s="16" t="inlineStr">
        <is>
          <t>1. Log in as each test user in turn.
2. Call GET /api/v1/auth/me and capture permissions[].</t>
        </is>
      </c>
      <c r="H3" s="16" t="inlineStr">
        <is>
          <t>Users: qa.orgadmin, qa.salesmgr, qa.salesrep, qa.accountant, qa.storekeeper, qa.purchaser, qa.custom, qa.noperm</t>
        </is>
      </c>
      <c r="I3" s="16" t="inlineStr">
        <is>
          <t>ORG_ADMIN: superset covering all modules. Each operational user: set equals its intended bundle. qa.noperm: permissions: []. rootadmin: isRoot: true. Any divergence from the design matrix is logged as a finding.</t>
        </is>
      </c>
      <c r="J3" s="16" t="inlineStr">
        <is>
          <t>/admin</t>
        </is>
      </c>
      <c r="K3" s="16" t="inlineStr"/>
      <c r="L3" s="16" t="inlineStr"/>
      <c r="M3" s="17" t="inlineStr">
        <is>
          <t>Not Run</t>
        </is>
      </c>
      <c r="N3" s="17" t="inlineStr"/>
      <c r="O3" s="16" t="inlineStr"/>
      <c r="P3" s="16" t="inlineStr"/>
      <c r="Q3" s="16" t="inlineStr"/>
    </row>
    <row r="4">
      <c r="A4" s="18" t="inlineStr">
        <is>
          <t>RBAC-002</t>
        </is>
      </c>
      <c r="B4" s="19" t="inlineStr">
        <is>
          <t>Role Bundles</t>
        </is>
      </c>
      <c r="C4" s="19" t="inlineStr">
        <is>
          <t>ORG_ADMIN can administer companies, users, and roles</t>
        </is>
      </c>
      <c r="D4" s="8" t="inlineStr">
        <is>
          <t>Positive</t>
        </is>
      </c>
      <c r="E4" s="8" t="inlineStr">
        <is>
          <t>High</t>
        </is>
      </c>
      <c r="F4" s="19" t="inlineStr">
        <is>
          <t>qa.orgadmin logged in.</t>
        </is>
      </c>
      <c r="G4" s="19" t="inlineStr">
        <is>
          <t>1. Navigate to /admin/companies, /admin/users, /admin/roles.
2. Confirm all three nav items are visible.
3. Open a create form on each.</t>
        </is>
      </c>
      <c r="H4" s="19" t="inlineStr">
        <is>
          <t>qa.orgadmin</t>
        </is>
      </c>
      <c r="I4" s="19" t="inlineStr">
        <is>
          <t>All three screens load (four states: loading → loaded). Create forms are reachable. POST on each returns 201. No uid shown in any cell or label.</t>
        </is>
      </c>
      <c r="J4" s="19" t="inlineStr">
        <is>
          <t>/admin/companies</t>
        </is>
      </c>
      <c r="K4" s="19" t="inlineStr">
        <is>
          <t>COMPANY.MANAGE</t>
        </is>
      </c>
      <c r="L4" s="19" t="inlineStr"/>
      <c r="M4" s="8" t="inlineStr">
        <is>
          <t>Not Run</t>
        </is>
      </c>
      <c r="N4" s="8" t="inlineStr"/>
      <c r="O4" s="19" t="inlineStr"/>
      <c r="P4" s="19" t="inlineStr"/>
      <c r="Q4" s="19" t="inlineStr"/>
    </row>
    <row r="5">
      <c r="A5" s="15" t="inlineStr">
        <is>
          <t>RBAC-003</t>
        </is>
      </c>
      <c r="B5" s="16" t="inlineStr">
        <is>
          <t>Role Bundles</t>
        </is>
      </c>
      <c r="C5" s="16" t="inlineStr">
        <is>
          <t>SALES_MANAGER can create/confirm sales orders; cannot access GL or IAM-admin</t>
        </is>
      </c>
      <c r="D5" s="17" t="inlineStr">
        <is>
          <t>Positive</t>
        </is>
      </c>
      <c r="E5" s="17" t="inlineStr">
        <is>
          <t>High</t>
        </is>
      </c>
      <c r="F5" s="16" t="inlineStr">
        <is>
          <t>qa.salesmgr logged in. At least one customer and product seeded.</t>
        </is>
      </c>
      <c r="G5" s="16" t="inlineStr">
        <is>
          <t>1. Navigate to /admin/sales-orders; create an order (pick customer + product by name).
2. Confirm the order.
3. Navigate directly to /admin/gl/journals.
4. Navigate directly to /admin/users.
5. Call GET /api/v1/gl/journals and GET /api/v1/users directly.</t>
        </is>
      </c>
      <c r="H5" s="16" t="inlineStr">
        <is>
          <t>Customer: Acme Traders, product: Sugar 1kg, qty: 5</t>
        </is>
      </c>
      <c r="I5" s="16" t="inlineStr">
        <is>
          <t>Create and Confirm succeed. /admin/gl/journals and /admin/users redirect to /admin/home. GL and Users nav items are absent. Both direct API calls return 403 with the generic message.</t>
        </is>
      </c>
      <c r="J5" s="16" t="inlineStr">
        <is>
          <t>/admin/sales-orders</t>
        </is>
      </c>
      <c r="K5" s="16" t="inlineStr">
        <is>
          <t>SALES.ORDER.CREATE</t>
        </is>
      </c>
      <c r="L5" s="16" t="inlineStr"/>
      <c r="M5" s="17" t="inlineStr">
        <is>
          <t>Not Run</t>
        </is>
      </c>
      <c r="N5" s="17" t="inlineStr"/>
      <c r="O5" s="16" t="inlineStr"/>
      <c r="P5" s="16" t="inlineStr"/>
      <c r="Q5" s="16" t="inlineStr"/>
    </row>
    <row r="6">
      <c r="A6" s="18" t="inlineStr">
        <is>
          <t>RBAC-004</t>
        </is>
      </c>
      <c r="B6" s="19" t="inlineStr">
        <is>
          <t>Role Bundles</t>
        </is>
      </c>
      <c r="C6" s="19" t="inlineStr">
        <is>
          <t>SALES_REP can create sales orders but NOT confirm or cancel them</t>
        </is>
      </c>
      <c r="D6" s="8" t="inlineStr">
        <is>
          <t>Permission</t>
        </is>
      </c>
      <c r="E6" s="8" t="inlineStr">
        <is>
          <t>High</t>
        </is>
      </c>
      <c r="F6" s="19" t="inlineStr">
        <is>
          <t>qa.salesrep logged in. A DRAFT sales order exists created by the rep.</t>
        </is>
      </c>
      <c r="G6" s="19" t="inlineStr">
        <is>
          <t>1. Create a sales order (succeeds).
2. Look for Confirm and Cancel controls on the order detail.
3. Call PUT /api/v1/sales-orders/uid/{uid}/confirm directly.</t>
        </is>
      </c>
      <c r="H6" s="19" t="inlineStr">
        <is>
          <t>qa.salesrep; a DRAFT order</t>
        </is>
      </c>
      <c r="I6" s="19" t="inlineStr">
        <is>
          <t>Create returns 201. Confirm and Cancel buttons are NOT rendered (action-level gating). Direct confirm API returns 403.</t>
        </is>
      </c>
      <c r="J6" s="19" t="inlineStr">
        <is>
          <t>/admin/sales-orders</t>
        </is>
      </c>
      <c r="K6" s="19" t="inlineStr">
        <is>
          <t>SALES.ORDER.CREATE</t>
        </is>
      </c>
      <c r="L6" s="19" t="inlineStr"/>
      <c r="M6" s="8" t="inlineStr">
        <is>
          <t>Not Run</t>
        </is>
      </c>
      <c r="N6" s="8" t="inlineStr"/>
      <c r="O6" s="19" t="inlineStr"/>
      <c r="P6" s="19" t="inlineStr"/>
      <c r="Q6" s="19" t="inlineStr"/>
    </row>
    <row r="7">
      <c r="A7" s="15" t="inlineStr">
        <is>
          <t>RBAC-005</t>
        </is>
      </c>
      <c r="B7" s="16" t="inlineStr">
        <is>
          <t>Role Bundles</t>
        </is>
      </c>
      <c r="C7" s="16" t="inlineStr">
        <is>
          <t>ACCOUNTANT can post GL, record AR receipts, run AP payments; cannot create sales or manage users</t>
        </is>
      </c>
      <c r="D7" s="17" t="inlineStr">
        <is>
          <t>Positive</t>
        </is>
      </c>
      <c r="E7" s="17" t="inlineStr">
        <is>
          <t>High</t>
        </is>
      </c>
      <c r="F7" s="16" t="inlineStr">
        <is>
          <t>qa.accountant logged in. Open fiscal period; an AR invoice and AP bill exist.</t>
        </is>
      </c>
      <c r="G7" s="16" t="inlineStr">
        <is>
          <t>1. Post a balanced journal (pick accounts by name).
2. Record an AR receipt.
3. Run an AP payment.
4. Navigate to /admin/sales-orders/create and /admin/users directly.
5. POST /api/v1/sales-orders directly.</t>
        </is>
      </c>
      <c r="H7" s="16" t="inlineStr">
        <is>
          <t>qa.accountant</t>
        </is>
      </c>
      <c r="I7" s="16" t="inlineStr">
        <is>
          <t>Steps 1-3 succeed. Steps 4-5: sales-create and users redirect to home / nav hidden. POST /api/v1/sales-orders returns 403.</t>
        </is>
      </c>
      <c r="J7" s="16" t="inlineStr">
        <is>
          <t>/admin/gl/journals</t>
        </is>
      </c>
      <c r="K7" s="16" t="inlineStr">
        <is>
          <t>GL.POST</t>
        </is>
      </c>
      <c r="L7" s="16" t="inlineStr"/>
      <c r="M7" s="17" t="inlineStr">
        <is>
          <t>Not Run</t>
        </is>
      </c>
      <c r="N7" s="17" t="inlineStr"/>
      <c r="O7" s="16" t="inlineStr"/>
      <c r="P7" s="16" t="inlineStr"/>
      <c r="Q7" s="16" t="inlineStr"/>
    </row>
    <row r="8">
      <c r="A8" s="18" t="inlineStr">
        <is>
          <t>RBAC-006</t>
        </is>
      </c>
      <c r="B8" s="19" t="inlineStr">
        <is>
          <t>Role Bundles</t>
        </is>
      </c>
      <c r="C8" s="19" t="inlineStr">
        <is>
          <t>STOREKEEPER can adjust stock and create/receive stock transfers; cannot access GL or sales</t>
        </is>
      </c>
      <c r="D8" s="8" t="inlineStr">
        <is>
          <t>Positive</t>
        </is>
      </c>
      <c r="E8" s="8" t="inlineStr">
        <is>
          <t>High</t>
        </is>
      </c>
      <c r="F8" s="19" t="inlineStr">
        <is>
          <t>qa.storekeeper logged in. At least one product and two stock locations exist.</t>
        </is>
      </c>
      <c r="G8" s="19" t="inlineStr">
        <is>
          <t>1. Navigate to /admin/stock; adjust on-hand (pick product by name).
2. Navigate to /admin/stock-transfers; create a transfer (pick locations by name); receive it.
3. Navigate directly to /admin/gl/journals and /admin/sales-orders.
4. GET /api/v1/gl/journals directly.</t>
        </is>
      </c>
      <c r="H8" s="19" t="inlineStr">
        <is>
          <t>qa.storekeeper</t>
        </is>
      </c>
      <c r="I8" s="19" t="inlineStr">
        <is>
          <t>Steps 1-2 succeed. Steps 3-4: GL and sales redirect to home / nav hidden; direct API returns 403.</t>
        </is>
      </c>
      <c r="J8" s="19" t="inlineStr">
        <is>
          <t>/admin/stock</t>
        </is>
      </c>
      <c r="K8" s="19" t="inlineStr">
        <is>
          <t>STOCK.ADJUST</t>
        </is>
      </c>
      <c r="L8" s="19" t="inlineStr"/>
      <c r="M8" s="8" t="inlineStr">
        <is>
          <t>Not Run</t>
        </is>
      </c>
      <c r="N8" s="8" t="inlineStr"/>
      <c r="O8" s="19" t="inlineStr"/>
      <c r="P8" s="19" t="inlineStr"/>
      <c r="Q8" s="19" t="inlineStr"/>
    </row>
    <row r="9">
      <c r="A9" s="15" t="inlineStr">
        <is>
          <t>RBAC-007</t>
        </is>
      </c>
      <c r="B9" s="16" t="inlineStr">
        <is>
          <t>Role Bundles</t>
        </is>
      </c>
      <c r="C9" s="16" t="inlineStr">
        <is>
          <t>PURCHASE_OFFICER can create POs; cannot approve or void them</t>
        </is>
      </c>
      <c r="D9" s="17" t="inlineStr">
        <is>
          <t>Permission</t>
        </is>
      </c>
      <c r="E9" s="17" t="inlineStr">
        <is>
          <t>High</t>
        </is>
      </c>
      <c r="F9" s="16" t="inlineStr">
        <is>
          <t>qa.purchaser logged in. At least one supplier exists.</t>
        </is>
      </c>
      <c r="G9" s="16" t="inlineStr">
        <is>
          <t>1. Create a PO (pick supplier by name).
2. Look for Approve and Void controls on the PO detail.
3. Call POST /api/v1/purchase-orders/uid/{uid}/approve directly.</t>
        </is>
      </c>
      <c r="H9" s="16" t="inlineStr">
        <is>
          <t>qa.purchaser; supplier: ABC Supplies</t>
        </is>
      </c>
      <c r="I9" s="16" t="inlineStr">
        <is>
          <t>Create returns 201. Approve and Void controls not rendered (action-level gating). Direct approve returns 403. Segregation of duties enforced by permission code, not ownership.</t>
        </is>
      </c>
      <c r="J9" s="16" t="inlineStr">
        <is>
          <t>/admin/purchase-orders</t>
        </is>
      </c>
      <c r="K9" s="16" t="inlineStr">
        <is>
          <t>PURCHASE.ORDER.CREATE</t>
        </is>
      </c>
      <c r="L9" s="16" t="inlineStr"/>
      <c r="M9" s="17" t="inlineStr">
        <is>
          <t>Not Run</t>
        </is>
      </c>
      <c r="N9" s="17" t="inlineStr"/>
      <c r="O9" s="16" t="inlineStr"/>
      <c r="P9" s="16" t="inlineStr"/>
      <c r="Q9" s="16" t="inlineStr"/>
    </row>
    <row r="10">
      <c r="A10" s="18" t="inlineStr">
        <is>
          <t>RBAC-008</t>
        </is>
      </c>
      <c r="B10" s="19" t="inlineStr">
        <is>
          <t>Role Bundles</t>
        </is>
      </c>
      <c r="C10" s="19" t="inlineStr">
        <is>
          <t>CUSTOM role (CUSTOMER.VIEW + PRODUCT.VIEW) sees only those two screens; all else hidden/403</t>
        </is>
      </c>
      <c r="D10" s="8" t="inlineStr">
        <is>
          <t>Permission</t>
        </is>
      </c>
      <c r="E10" s="8" t="inlineStr">
        <is>
          <t>High</t>
        </is>
      </c>
      <c r="F10" s="19" t="inlineStr">
        <is>
          <t>qa.custom user assigned the CUSTOM role (exactly CUSTOMER.VIEW + PRODUCT.VIEW).</t>
        </is>
      </c>
      <c r="G10" s="19" t="inlineStr">
        <is>
          <t>1. Log in as qa.custom.
2. Inspect the sidebar items.
3. Navigate to /admin/customers and /admin/products (load).
4. Navigate to /admin/suppliers, /admin/sales-orders, /admin/gl/journals directly.
5. POST /api/v1/customers and GET /api/v1/suppliers directly.</t>
        </is>
      </c>
      <c r="H10" s="19" t="inlineStr">
        <is>
          <t>qa.custom</t>
        </is>
      </c>
      <c r="I10" s="19" t="inlineStr">
        <is>
          <t>Sidebar shows only Customers and Products (no Create button — lacks MANAGE codes). Other routes redirect to /admin/home. POST /api/v1/customers returns 403. GET /api/v1/suppliers returns 403.</t>
        </is>
      </c>
      <c r="J10" s="19" t="inlineStr">
        <is>
          <t>/admin/customers</t>
        </is>
      </c>
      <c r="K10" s="19" t="inlineStr">
        <is>
          <t>CUSTOMER.VIEW</t>
        </is>
      </c>
      <c r="L10" s="19" t="inlineStr"/>
      <c r="M10" s="8" t="inlineStr">
        <is>
          <t>Not Run</t>
        </is>
      </c>
      <c r="N10" s="8" t="inlineStr"/>
      <c r="O10" s="19" t="inlineStr"/>
      <c r="P10" s="19" t="inlineStr"/>
      <c r="Q10" s="19" t="inlineStr"/>
    </row>
    <row r="11">
      <c r="A11" s="15" t="inlineStr">
        <is>
          <t>RBAC-009</t>
        </is>
      </c>
      <c r="B11" s="16" t="inlineStr">
        <is>
          <t>Role Bundles</t>
        </is>
      </c>
      <c r="C11" s="16" t="inlineStr">
        <is>
          <t>NO-PERM user: empty nav, every protected screen redirects, every API returns 403</t>
        </is>
      </c>
      <c r="D11" s="17" t="inlineStr">
        <is>
          <t>Permission</t>
        </is>
      </c>
      <c r="E11" s="17" t="inlineStr">
        <is>
          <t>High</t>
        </is>
      </c>
      <c r="F11" s="16" t="inlineStr">
        <is>
          <t>qa.noperm user has no role grant.</t>
        </is>
      </c>
      <c r="G11" s="16" t="inlineStr">
        <is>
          <t>1. Log in as qa.noperm.
2. Inspect the sidebar.
3. Navigate directly to /admin/customers, /admin/users, /admin/gl/journals.
4. Call GET /api/v1/customers and GET /api/v1/users.</t>
        </is>
      </c>
      <c r="H11" s="16" t="inlineStr">
        <is>
          <t>qa.noperm</t>
        </is>
      </c>
      <c r="I11" s="16" t="inlineStr">
        <is>
          <t>Sidebar shows no permission-gated items. Every protected route redirects to /admin/home. All protected API calls return 403 with the generic message. GET /api/v1/auth/me returns permissions: []. GET /auth/my-branches still succeeds (authentication, not authorization).</t>
        </is>
      </c>
      <c r="J11" s="16" t="inlineStr">
        <is>
          <t>/admin</t>
        </is>
      </c>
      <c r="K11" s="16" t="inlineStr"/>
      <c r="L11" s="16" t="inlineStr"/>
      <c r="M11" s="17" t="inlineStr">
        <is>
          <t>Not Run</t>
        </is>
      </c>
      <c r="N11" s="17" t="inlineStr"/>
      <c r="O11" s="16" t="inlineStr"/>
      <c r="P11" s="16" t="inlineStr"/>
      <c r="Q11" s="16" t="inlineStr"/>
    </row>
    <row r="12">
      <c r="A12" s="18" t="inlineStr">
        <is>
          <t>RBAC-010</t>
        </is>
      </c>
      <c r="B12" s="19" t="inlineStr">
        <is>
          <t>Scope Enforcement</t>
        </is>
      </c>
      <c r="C12" s="19" t="inlineStr">
        <is>
          <t>Cross-tenant denial: ORG_ADMIN of Tenant A cannot touch Tenant B's customer</t>
        </is>
      </c>
      <c r="D12" s="8" t="inlineStr">
        <is>
          <t>Permission</t>
        </is>
      </c>
      <c r="E12" s="8" t="inlineStr">
        <is>
          <t>High</t>
        </is>
      </c>
      <c r="F12" s="19" t="inlineStr">
        <is>
          <t>Two tenants A and B, each with a customer. Company A's qa.orgadmin is granted ORG_ADMIN in Company A only.</t>
        </is>
      </c>
      <c r="G12" s="19" t="inlineStr">
        <is>
          <t>1. Log in as Company A admin (active company = A).
2. Obtain Company B customer uid out-of-band.
3. Call PUT /api/v1/customers/uid/{B_customer_uid}.
4. Call GET /api/v1/customers/uid/{B_customer_uid}.</t>
        </is>
      </c>
      <c r="H12" s="19" t="inlineStr">
        <is>
          <t>Company B customer: Bravo Ltd</t>
        </is>
      </c>
      <c r="I12" s="19" t="inlineStr">
        <is>
          <t>Both calls return 403. ScopeGuard.canActOn detects target's company = B ≠ active A. Company B's customer never appears in Company A's list. An unresolvable uid also returns 403 (not 404 — avoids existence leak).</t>
        </is>
      </c>
      <c r="J12" s="19" t="inlineStr">
        <is>
          <t>/admin/customers</t>
        </is>
      </c>
      <c r="K12" s="19" t="inlineStr">
        <is>
          <t>CUSTOMER.MANAGE</t>
        </is>
      </c>
      <c r="L12" s="19" t="inlineStr"/>
      <c r="M12" s="8" t="inlineStr">
        <is>
          <t>Not Run</t>
        </is>
      </c>
      <c r="N12" s="8" t="inlineStr"/>
      <c r="O12" s="19" t="inlineStr"/>
      <c r="P12" s="19" t="inlineStr"/>
      <c r="Q12" s="19" t="inlineStr"/>
    </row>
    <row r="13">
      <c r="A13" s="15" t="inlineStr">
        <is>
          <t>RBAC-011</t>
        </is>
      </c>
      <c r="B13" s="16" t="inlineStr">
        <is>
          <t>Scope Enforcement</t>
        </is>
      </c>
      <c r="C13" s="16" t="inlineStr">
        <is>
          <t>@perm.scoped on body companyUid: create denied when companyUid != active company</t>
        </is>
      </c>
      <c r="D13" s="17" t="inlineStr">
        <is>
          <t>Permission</t>
        </is>
      </c>
      <c r="E13" s="17" t="inlineStr">
        <is>
          <t>High</t>
        </is>
      </c>
      <c r="F13" s="16" t="inlineStr">
        <is>
          <t>Two companies A and B. User holds SALES.ORDER.CREATE scoped to Company A.</t>
        </is>
      </c>
      <c r="G13" s="16" t="inlineStr">
        <is>
          <t>1. Log in (active company A).
2. POST /api/v1/sales-orders with companyUid = Company B.
3. POST /api/v1/gl/journals with companyUid = Company B.</t>
        </is>
      </c>
      <c r="H13" s="16" t="inlineStr">
        <is>
          <t>companyUid: Company B's uid</t>
        </is>
      </c>
      <c r="I13" s="16" t="inlineStr">
        <is>
          <t>Both return 403 (body-scoped guard: holds perm but B != active A). Same calls with companyUid = A succeed (201), proving the gate is scope not the permission itself.</t>
        </is>
      </c>
      <c r="J13" s="16" t="inlineStr">
        <is>
          <t>/admin/sales-orders</t>
        </is>
      </c>
      <c r="K13" s="16" t="inlineStr">
        <is>
          <t>SALES.ORDER.CREATE</t>
        </is>
      </c>
      <c r="L13" s="16" t="inlineStr"/>
      <c r="M13" s="17" t="inlineStr">
        <is>
          <t>Not Run</t>
        </is>
      </c>
      <c r="N13" s="17" t="inlineStr"/>
      <c r="O13" s="16" t="inlineStr"/>
      <c r="P13" s="16" t="inlineStr"/>
      <c r="Q13" s="16" t="inlineStr"/>
    </row>
    <row r="14">
      <c r="A14" s="18" t="inlineStr">
        <is>
          <t>RBAC-012</t>
        </is>
      </c>
      <c r="B14" s="19" t="inlineStr">
        <is>
          <t>Scope Enforcement</t>
        </is>
      </c>
      <c r="C14" s="19" t="inlineStr">
        <is>
          <t>Branch-scoped grant: user with role only in Branch 1 is denied STOCK.VIEW in Branch 2</t>
        </is>
      </c>
      <c r="D14" s="8" t="inlineStr">
        <is>
          <t>Permission</t>
        </is>
      </c>
      <c r="E14" s="8" t="inlineStr">
        <is>
          <t>High</t>
        </is>
      </c>
      <c r="F14" s="19" t="inlineStr">
        <is>
          <t>Company A with branch1 (default) and branch2. User granted STOCK.VIEW/STOCK.ADJUST scoped to branch1 only.</t>
        </is>
      </c>
      <c r="G14" s="19" t="inlineStr">
        <is>
          <t>1. Log in (default branch1). View stock → 200.
2. Switch active branch to branch2 (branch selector by name).
3. Call GET /api/v1/stock.</t>
        </is>
      </c>
      <c r="H14" s="19" t="inlineStr">
        <is>
          <t>branch1, branch2; STOCK.VIEW grant on branch1 only</t>
        </is>
      </c>
      <c r="I14" s="19" t="inlineStr">
        <is>
          <t>branch1: stock loads. After switching to branch2: GET /api/v1/stock returns 403 (no grant in branch2). Nav reflects loss of STOCK.VIEW. Switch back to branch1 restores access — all without re-login.</t>
        </is>
      </c>
      <c r="J14" s="19" t="inlineStr">
        <is>
          <t>/admin/stock</t>
        </is>
      </c>
      <c r="K14" s="19" t="inlineStr">
        <is>
          <t>STOCK.VIEW</t>
        </is>
      </c>
      <c r="L14" s="19" t="inlineStr"/>
      <c r="M14" s="8" t="inlineStr">
        <is>
          <t>Not Run</t>
        </is>
      </c>
      <c r="N14" s="8" t="inlineStr"/>
      <c r="O14" s="19" t="inlineStr"/>
      <c r="P14" s="19" t="inlineStr"/>
      <c r="Q14" s="19" t="inlineStr"/>
    </row>
    <row r="15">
      <c r="A15" s="15" t="inlineStr">
        <is>
          <t>RBAC-013</t>
        </is>
      </c>
      <c r="B15" s="16" t="inlineStr">
        <is>
          <t>Scope Enforcement</t>
        </is>
      </c>
      <c r="C15" s="16" t="inlineStr">
        <is>
          <t>Company-wide grant (branch_id NULL) works in all branches of the same company</t>
        </is>
      </c>
      <c r="D15" s="17" t="inlineStr">
        <is>
          <t>Positive</t>
        </is>
      </c>
      <c r="E15" s="17" t="inlineStr">
        <is>
          <t>Medium</t>
        </is>
      </c>
      <c r="F15" s="16" t="inlineStr">
        <is>
          <t>Company A with branch1 and branch2. User has STOCK.VIEW granted with branch_id = NULL (all branches).</t>
        </is>
      </c>
      <c r="G15" s="16" t="inlineStr">
        <is>
          <t>1. Log in (branch1). View stock → 200.
2. Switch to branch2. View stock → expect 200.</t>
        </is>
      </c>
      <c r="H15" s="16" t="inlineStr">
        <is>
          <t>NULL-branch grant</t>
        </is>
      </c>
      <c r="I15" s="16" t="inlineStr">
        <is>
          <t>Stock loads in both branches (NULL branch_id = effective company-wide). Data differs per branch (branch-scoped rows) but the permission holds in both. Switching to a different company branch fails (cross-tenant).</t>
        </is>
      </c>
      <c r="J15" s="16" t="inlineStr">
        <is>
          <t>/admin/stock</t>
        </is>
      </c>
      <c r="K15" s="16" t="inlineStr">
        <is>
          <t>STOCK.VIEW</t>
        </is>
      </c>
      <c r="L15" s="16" t="inlineStr"/>
      <c r="M15" s="17" t="inlineStr">
        <is>
          <t>Not Run</t>
        </is>
      </c>
      <c r="N15" s="17" t="inlineStr"/>
      <c r="O15" s="16" t="inlineStr"/>
      <c r="P15" s="16" t="inlineStr"/>
      <c r="Q15" s="16" t="inlineStr"/>
    </row>
    <row r="16">
      <c r="A16" s="18" t="inlineStr">
        <is>
          <t>RBAC-014</t>
        </is>
      </c>
      <c r="B16" s="19" t="inlineStr">
        <is>
          <t>Scope Enforcement</t>
        </is>
      </c>
      <c r="C16" s="19" t="inlineStr">
        <is>
          <t>Acting in an unassigned branch via forged X-Branch-Uid is denied</t>
        </is>
      </c>
      <c r="D16" s="8" t="inlineStr">
        <is>
          <t>Permission</t>
        </is>
      </c>
      <c r="E16" s="8" t="inlineStr">
        <is>
          <t>High</t>
        </is>
      </c>
      <c r="F16" s="19" t="inlineStr">
        <is>
          <t>User assigned (UserBranch) to branch1 only. Branch2 exists in the same company.</t>
        </is>
      </c>
      <c r="G16" s="19" t="inlineStr">
        <is>
          <t>1. Log in.
2. Confirm branch2 is NOT in the branch selector (only branch1 listed).
3. Send an API call with X-Branch-Uid: branch2.</t>
        </is>
      </c>
      <c r="H16" s="19" t="inlineStr">
        <is>
          <t>branch2 uid (not assigned)</t>
        </is>
      </c>
      <c r="I16" s="19" t="inlineStr">
        <is>
          <t>Branch selector shows only branch1. Forged override to branch2 is rejected by the filter (no effective scope there) → 403. The UI cannot reach branch2 at all for this user.</t>
        </is>
      </c>
      <c r="J16" s="19" t="inlineStr">
        <is>
          <t>/admin</t>
        </is>
      </c>
      <c r="K16" s="19" t="inlineStr"/>
      <c r="L16" s="19" t="inlineStr"/>
      <c r="M16" s="8" t="inlineStr">
        <is>
          <t>Not Run</t>
        </is>
      </c>
      <c r="N16" s="8" t="inlineStr"/>
      <c r="O16" s="19" t="inlineStr"/>
      <c r="P16" s="19" t="inlineStr"/>
      <c r="Q16" s="19" t="inlineStr"/>
    </row>
    <row r="17">
      <c r="A17" s="15" t="inlineStr">
        <is>
          <t>RBAC-015</t>
        </is>
      </c>
      <c r="B17" s="16" t="inlineStr">
        <is>
          <t>Scope Enforcement</t>
        </is>
      </c>
      <c r="C17" s="16" t="inlineStr">
        <is>
          <t>Effective permissions update promptly after grant/revoke (cache invalidated)</t>
        </is>
      </c>
      <c r="D17" s="17" t="inlineStr">
        <is>
          <t>Edge</t>
        </is>
      </c>
      <c r="E17" s="17" t="inlineStr">
        <is>
          <t>Medium</t>
        </is>
      </c>
      <c r="F17" s="16" t="inlineStr">
        <is>
          <t>ORG_ADMIN and a target user holding a role with CUSTOMER.VIEW.</t>
        </is>
      </c>
      <c r="G17" s="16" t="inlineStr">
        <is>
          <t>1. As ORG_ADMIN, revoke the target's role (DELETE /api/v1/user-roles/uid/{uid}).
2. Immediately, as the target, call GET /api/v1/customers.
3. Re-grant and retry.</t>
        </is>
      </c>
      <c r="H17" s="16" t="inlineStr">
        <is>
          <t>Target user; role with CUSTOMER.VIEW</t>
        </is>
      </c>
      <c r="I17" s="16" t="inlineStr">
        <is>
          <t>After revoke: GET /api/v1/customers returns 403 promptly (cache invalidated by invalidate()). After re-grant: 200 returned. GET /api/v1/auth/me reflects the change in the permissions array.</t>
        </is>
      </c>
      <c r="J17" s="16" t="inlineStr">
        <is>
          <t>/admin/customers</t>
        </is>
      </c>
      <c r="K17" s="16" t="inlineStr">
        <is>
          <t>CUSTOMER.VIEW</t>
        </is>
      </c>
      <c r="L17" s="16" t="inlineStr"/>
      <c r="M17" s="17" t="inlineStr">
        <is>
          <t>Not Run</t>
        </is>
      </c>
      <c r="N17" s="17" t="inlineStr"/>
      <c r="O17" s="16" t="inlineStr"/>
      <c r="P17" s="16" t="inlineStr"/>
      <c r="Q17" s="16" t="inlineStr"/>
    </row>
    <row r="18">
      <c r="A18" s="18" t="inlineStr">
        <is>
          <t>RBAC-016</t>
        </is>
      </c>
      <c r="B18" s="19" t="inlineStr">
        <is>
          <t>Security Contract</t>
        </is>
      </c>
      <c r="C18" s="19" t="inlineStr">
        <is>
          <t>401 vs 403 response contract; error message never names the required permission</t>
        </is>
      </c>
      <c r="D18" s="8" t="inlineStr">
        <is>
          <t>Negative</t>
        </is>
      </c>
      <c r="E18" s="8" t="inlineStr">
        <is>
          <t>Medium</t>
        </is>
      </c>
      <c r="F18" s="19" t="inlineStr">
        <is>
          <t>A protected endpoint accessible by ORG_ADMIN.</t>
        </is>
      </c>
      <c r="G18" s="19" t="inlineStr">
        <is>
          <t>1. Call the endpoint with no bearer token.
2. Call the same endpoint with a valid token from qa.noperm (insufficient permission).</t>
        </is>
      </c>
      <c r="H18" s="19" t="inlineStr">
        <is>
          <t>No token; qa.noperm token</t>
        </is>
      </c>
      <c r="I18" s="19" t="inlineStr">
        <is>
          <t>Step 1: 401, body ApiResponse.error('Authentication is required.'). Step 2: 403, body ApiResponse.error('You do not have permission to perform this action.'). Neither message names the required permission code, the resource, or whether it exists.</t>
        </is>
      </c>
      <c r="J18" s="19" t="inlineStr">
        <is>
          <t>/api/v1/customers</t>
        </is>
      </c>
      <c r="K18" s="19" t="inlineStr"/>
      <c r="L18" s="19" t="inlineStr"/>
      <c r="M18" s="8" t="inlineStr">
        <is>
          <t>Not Run</t>
        </is>
      </c>
      <c r="N18" s="8" t="inlineStr"/>
      <c r="O18" s="19" t="inlineStr"/>
      <c r="P18" s="19" t="inlineStr"/>
      <c r="Q18" s="19" t="inlineStr"/>
    </row>
    <row r="19">
      <c r="A19" s="15" t="inlineStr">
        <is>
          <t>RBAC-017</t>
        </is>
      </c>
      <c r="B19" s="16" t="inlineStr">
        <is>
          <t>Security Contract</t>
        </is>
      </c>
      <c r="C19" s="16" t="inlineStr">
        <is>
          <t>Nav-hidden / route-guarded / API-gated are consistent for the same permission code</t>
        </is>
      </c>
      <c r="D19" s="17" t="inlineStr">
        <is>
          <t>Positive</t>
        </is>
      </c>
      <c r="E19" s="17" t="inlineStr">
        <is>
          <t>High</t>
        </is>
      </c>
      <c r="F19" s="16" t="inlineStr">
        <is>
          <t>A user lacking COMPANY.VIEW.</t>
        </is>
      </c>
      <c r="G19" s="16" t="inlineStr">
        <is>
          <t>1. Confirm the Companies nav item is absent from the sidebar.
2. Navigate directly to /admin/companies — confirm redirect to /admin/home.
3. Call GET /api/v1/companies — confirm 403.</t>
        </is>
      </c>
      <c r="H19" s="16" t="inlineStr">
        <is>
          <t>User lacking COMPANY.VIEW</t>
        </is>
      </c>
      <c r="I19" s="16" t="inlineStr">
        <is>
          <t>All three enforcement points (nav, route guard, API) agree: no Companies access. The same test repeated for STOCK.VIEW (stock), SALES.ORDER.VIEW (sales-orders), GL.VIEW (gl/journals), PURCHASE.ORDER.VIEW (purchase-orders). Any mismatch is a finding.</t>
        </is>
      </c>
      <c r="J19" s="16" t="inlineStr">
        <is>
          <t>/admin/companies</t>
        </is>
      </c>
      <c r="K19" s="16" t="inlineStr">
        <is>
          <t>COMPANY.VIEW</t>
        </is>
      </c>
      <c r="L19" s="16" t="inlineStr"/>
      <c r="M19" s="17" t="inlineStr">
        <is>
          <t>Not Run</t>
        </is>
      </c>
      <c r="N19" s="17" t="inlineStr"/>
      <c r="O19" s="16" t="inlineStr"/>
      <c r="P19" s="16" t="inlineStr"/>
      <c r="Q19" s="16" t="inlineStr"/>
    </row>
    <row r="20">
      <c r="A20" s="18" t="inlineStr">
        <is>
          <t>RBAC-018</t>
        </is>
      </c>
      <c r="B20" s="19" t="inlineStr">
        <is>
          <t>Security Contract</t>
        </is>
      </c>
      <c r="C20" s="19" t="inlineStr">
        <is>
          <t>POS session/sale/till: non-root users (including ORG_ADMIN) receive 403 — known defect</t>
        </is>
      </c>
      <c r="D20" s="8" t="inlineStr">
        <is>
          <t>Negative</t>
        </is>
      </c>
      <c r="E20" s="8" t="inlineStr">
        <is>
          <t>High</t>
        </is>
      </c>
      <c r="F20" s="19" t="inlineStr">
        <is>
          <t>qa.orgadmin (holds SALES.POS.* codes from V43 seed). A POS till exists.</t>
        </is>
      </c>
      <c r="G20" s="19" t="inlineStr">
        <is>
          <t>1. Log in as qa.orgadmin.
2. Navigate to /admin/pos/sessions; attempt to open a session.
3. Navigate to /admin/pos/sell; attempt to ring a sale.
4. Navigate to /admin/pos/tills; attempt to list/create.
5. Call POST /api/v1/pos/sessions, POST /api/v1/pos/sales, GET /api/v1/pos/tills directly.</t>
        </is>
      </c>
      <c r="H20" s="19" t="inlineStr">
        <is>
          <t>qa.orgadmin</t>
        </is>
      </c>
      <c r="I20" s="19" t="inlineStr">
        <is>
          <t>EXPECTED FAILURE (known defect): All non-root users get 403 on POS endpoints. Controllers require POS.SESSION.*/POS.SALE.CREATE/POS.TILL.* codes; the seeded catalogue defines SALES.POS.* codes — these do not match. POS nav items are hidden for non-root. Only rootadmin (bypass) can operate POS. Record the defect; do not mark as a pass.</t>
        </is>
      </c>
      <c r="J20" s="19" t="inlineStr">
        <is>
          <t>/admin/pos/sessions</t>
        </is>
      </c>
      <c r="K20" s="19" t="inlineStr">
        <is>
          <t>POS.SESSION.OPEN</t>
        </is>
      </c>
      <c r="L20" s="19" t="inlineStr"/>
      <c r="M20" s="8" t="inlineStr">
        <is>
          <t>Not Run</t>
        </is>
      </c>
      <c r="N20" s="8" t="inlineStr"/>
      <c r="O20" s="19" t="inlineStr"/>
      <c r="P20" s="19" t="inlineStr"/>
      <c r="Q20" s="19" t="inlineStr"/>
    </row>
    <row r="21">
      <c r="A21" s="15" t="inlineStr">
        <is>
          <t>RBAC-019</t>
        </is>
      </c>
      <c r="B21" s="16" t="inlineStr">
        <is>
          <t>Security Contract</t>
        </is>
      </c>
      <c r="C21" s="16" t="inlineStr">
        <is>
          <t>GL.YEAR.CLOSE restricted to ORG_ADMIN; ACCOUNTANT is denied</t>
        </is>
      </c>
      <c r="D21" s="17" t="inlineStr">
        <is>
          <t>Permission</t>
        </is>
      </c>
      <c r="E21" s="17" t="inlineStr">
        <is>
          <t>Medium</t>
        </is>
      </c>
      <c r="F21" s="16" t="inlineStr">
        <is>
          <t>qa.orgadmin and qa.accountant. A fiscal year eligible to close exists.</t>
        </is>
      </c>
      <c r="G21" s="16" t="inlineStr">
        <is>
          <t>1. As ORG_ADMIN: open the year-end close screen; run the close.
2. As ACCOUNTANT: navigate to the year-end close route; attempt the same via API.</t>
        </is>
      </c>
      <c r="H21" s="16" t="inlineStr">
        <is>
          <t>qa.orgadmin, qa.accountant</t>
        </is>
      </c>
      <c r="I21" s="16" t="inlineStr">
        <is>
          <t>ORG_ADMIN: close succeeds. ACCOUNTANT: nav hidden, route redirects to home, API returns 403. Closing an already-closed year returns a business 4xx (distinct from 403).</t>
        </is>
      </c>
      <c r="J21" s="16" t="inlineStr">
        <is>
          <t>/admin/gl/periods/fiscal-years</t>
        </is>
      </c>
      <c r="K21" s="16" t="inlineStr">
        <is>
          <t>GL.YEAR.CLOSE</t>
        </is>
      </c>
      <c r="L21" s="16" t="inlineStr"/>
      <c r="M21" s="17" t="inlineStr">
        <is>
          <t>Not Run</t>
        </is>
      </c>
      <c r="N21" s="17" t="inlineStr"/>
      <c r="O21" s="16" t="inlineStr"/>
      <c r="P21" s="16" t="inlineStr"/>
      <c r="Q21" s="16" t="inlineStr"/>
    </row>
    <row r="22">
      <c r="A22" s="18" t="inlineStr">
        <is>
          <t>RBAC-020</t>
        </is>
      </c>
      <c r="B22" s="19" t="inlineStr">
        <is>
          <t>Security Contract</t>
        </is>
      </c>
      <c r="C22" s="19" t="inlineStr">
        <is>
          <t>NOTIFICATION.ADMIN restricted to ORG_ADMIN; all operational roles get NOTIFICATION.VIEW</t>
        </is>
      </c>
      <c r="D22" s="8" t="inlineStr">
        <is>
          <t>Permission</t>
        </is>
      </c>
      <c r="E22" s="8" t="inlineStr">
        <is>
          <t>Medium</t>
        </is>
      </c>
      <c r="F22" s="19" t="inlineStr">
        <is>
          <t>qa.salesmgr (holds NOTIFICATION.VIEW) and qa.orgadmin (holds NOTIFICATION.ADMIN).</t>
        </is>
      </c>
      <c r="G22" s="19" t="inlineStr">
        <is>
          <t>1. As qa.salesmgr: view notifications and manage own preferences (succeed). Attempt the admin type-catalogue endpoint.
2. As qa.orgadmin: open the admin type catalogue (succeeds).</t>
        </is>
      </c>
      <c r="H22" s="19" t="inlineStr">
        <is>
          <t>qa.salesmgr, qa.orgadmin</t>
        </is>
      </c>
      <c r="I22" s="19" t="inlineStr">
        <is>
          <t>Operational user: view/preferences OK; admin catalogue endpoint returns 403. ORG_ADMIN: all notifications endpoints succeed. qa.noperm: even NOTIFICATION.VIEW returns 403.</t>
        </is>
      </c>
      <c r="J22" s="19" t="inlineStr">
        <is>
          <t>/admin/notifications</t>
        </is>
      </c>
      <c r="K22" s="19" t="inlineStr">
        <is>
          <t>NOTIFICATION.ADMIN</t>
        </is>
      </c>
      <c r="L22" s="19" t="inlineStr"/>
      <c r="M22" s="8" t="inlineStr">
        <is>
          <t>Not Run</t>
        </is>
      </c>
      <c r="N22" s="8" t="inlineStr"/>
      <c r="O22" s="19" t="inlineStr"/>
      <c r="P22" s="19" t="inlineStr"/>
      <c r="Q22" s="19" t="inlineStr"/>
    </row>
  </sheetData>
  <autoFilter ref="A2:Q22"/>
  <mergeCells count="1">
    <mergeCell ref="A1:Q1"/>
  </mergeCells>
  <dataValidations count="4">
    <dataValidation sqref="D3:D22" showDropDown="0" showInputMessage="0" showErrorMessage="0" allowBlank="1" type="list">
      <formula1>"Positive,Negative,Permission,Edge"</formula1>
    </dataValidation>
    <dataValidation sqref="E3:E22" showDropDown="0" showInputMessage="0" showErrorMessage="0" allowBlank="1" type="list">
      <formula1>"High,Medium,Low"</formula1>
    </dataValidation>
    <dataValidation sqref="M3:M22" showDropDown="0" showInputMessage="0" showErrorMessage="0" allowBlank="1" type="list">
      <formula1>"Not Run,Pass,Fail,Blocked,N/A"</formula1>
    </dataValidation>
    <dataValidation sqref="N3:N22" showDropDown="0" showInputMessage="0" showErrorMessage="0" allowBlank="1" type="list">
      <formula1>"-,Critical,High,Medium,Low"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Platform – Documents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PLAT-001</t>
        </is>
      </c>
      <c r="B3" s="16" t="inlineStr">
        <is>
          <t>Document Log</t>
        </is>
      </c>
      <c r="C3" s="16" t="inlineStr">
        <is>
          <t>Generated documents log lists for the active company</t>
        </is>
      </c>
      <c r="D3" s="17" t="inlineStr">
        <is>
          <t>Positive</t>
        </is>
      </c>
      <c r="E3" s="17" t="inlineStr">
        <is>
          <t>High</t>
        </is>
      </c>
      <c r="F3" s="16" t="inlineStr">
        <is>
          <t>Logged in as ORG_ADMIN (holds DOCUMENT.VIEW). At least one rendered document exists for the company.</t>
        </is>
      </c>
      <c r="G3" s="16" t="inlineStr">
        <is>
          <t>1. Navigate to /admin/documents.
2. Observe the list loads with columns: document number, type badge, source reference, generated-at, download action.</t>
        </is>
      </c>
      <c r="H3" s="16" t="inlineStr">
        <is>
          <t>company: Acme Co (default)</t>
        </is>
      </c>
      <c r="I3" s="16" t="inlineStr">
        <is>
          <t>GET /api/v1/documents returns 200 ApiResponse&lt;List&gt; + meta (page, size, totalElements, totalPages, hasNext). Table renders rows. No raw uid shown in any column. Paginator present and self-hides when only one page.</t>
        </is>
      </c>
      <c r="J3" s="16" t="inlineStr">
        <is>
          <t>/admin/documents</t>
        </is>
      </c>
      <c r="K3" s="16" t="inlineStr">
        <is>
          <t>DOCUMENT.VIEW</t>
        </is>
      </c>
      <c r="L3" s="16" t="inlineStr"/>
      <c r="M3" s="17" t="inlineStr">
        <is>
          <t>Not Run</t>
        </is>
      </c>
      <c r="N3" s="17" t="inlineStr"/>
      <c r="O3" s="16" t="inlineStr"/>
      <c r="P3" s="16" t="inlineStr"/>
      <c r="Q3" s="16" t="inlineStr"/>
    </row>
    <row r="4">
      <c r="A4" s="18" t="inlineStr">
        <is>
          <t>PLAT-002</t>
        </is>
      </c>
      <c r="B4" s="19" t="inlineStr">
        <is>
          <t>Document Log</t>
        </is>
      </c>
      <c r="C4" s="19" t="inlineStr">
        <is>
          <t>Documents log: four screen states (loading / empty / error / forbidden)</t>
        </is>
      </c>
      <c r="D4" s="8" t="inlineStr">
        <is>
          <t>Edge</t>
        </is>
      </c>
      <c r="E4" s="8" t="inlineStr">
        <is>
          <t>Medium</t>
        </is>
      </c>
      <c r="F4" s="19" t="inlineStr">
        <is>
          <t>ORG_ADMIN for normal states; NO-PERMISSION user for forbidden state.</t>
        </is>
      </c>
      <c r="G4" s="19" t="inlineStr">
        <is>
          <t>1. Throttle the list response to observe the loading spinner.
2. Switch to a company with no documents to observe the empty state.
3. Force a network error to observe the error state.
4. Log in as NO-PERMISSION user and navigate to /admin/documents.</t>
        </is>
      </c>
      <c r="H4" s="19" t="inlineStr">
        <is>
          <t>Empty company; simulated 500; qa.noperm</t>
        </is>
      </c>
      <c r="I4" s="19" t="inlineStr">
        <is>
          <t>Each state is visually distinct: loading spinner, explicit 'no documents' message, error panel with retry, forbidden message. Never a silent blank page. NO-PERMISSION: Documents nav group hidden; 403 on direct API call.</t>
        </is>
      </c>
      <c r="J4" s="19" t="inlineStr">
        <is>
          <t>/admin/documents</t>
        </is>
      </c>
      <c r="K4" s="19" t="inlineStr">
        <is>
          <t>DOCUMENT.VIEW</t>
        </is>
      </c>
      <c r="L4" s="19" t="inlineStr"/>
      <c r="M4" s="8" t="inlineStr">
        <is>
          <t>Not Run</t>
        </is>
      </c>
      <c r="N4" s="8" t="inlineStr"/>
      <c r="O4" s="19" t="inlineStr"/>
      <c r="P4" s="19" t="inlineStr"/>
      <c r="Q4" s="19" t="inlineStr"/>
    </row>
    <row r="5">
      <c r="A5" s="15" t="inlineStr">
        <is>
          <t>PLAT-003</t>
        </is>
      </c>
      <c r="B5" s="16" t="inlineStr">
        <is>
          <t>Document Log</t>
        </is>
      </c>
      <c r="C5" s="16" t="inlineStr">
        <is>
          <t>Filter documents log by DocumentType</t>
        </is>
      </c>
      <c r="D5" s="17" t="inlineStr">
        <is>
          <t>Positive</t>
        </is>
      </c>
      <c r="E5" s="17" t="inlineStr">
        <is>
          <t>Medium</t>
        </is>
      </c>
      <c r="F5" s="16" t="inlineStr">
        <is>
          <t>Logged in as ORG_ADMIN. Documents of mixed types exist.</t>
        </is>
      </c>
      <c r="G5" s="16" t="inlineStr">
        <is>
          <t>1. On /admin/documents choose 'Invoice' in the Type filter.
2. Assert only INVOICE rows show.
3. Switch to 'AR Statement' → only AR_STATEMENT rows.
4. Switch to 'All types' → full list.</t>
        </is>
      </c>
      <c r="H5" s="16" t="inlineStr">
        <is>
          <t>Types: INVOICE, AR_STATEMENT</t>
        </is>
      </c>
      <c r="I5" s="16" t="inlineStr">
        <is>
          <t>Server-side filter applied (request carries type=INVOICE). Page resets to 0 on filter change. Badge per type. Reserved types (PAYSLIP, QUOTATION, DEBIT_NOTE) are not offered in the filter select. Filter with no matches → empty state.</t>
        </is>
      </c>
      <c r="J5" s="16" t="inlineStr">
        <is>
          <t>/admin/documents</t>
        </is>
      </c>
      <c r="K5" s="16" t="inlineStr">
        <is>
          <t>DOCUMENT.VIEW</t>
        </is>
      </c>
      <c r="L5" s="16" t="inlineStr"/>
      <c r="M5" s="17" t="inlineStr">
        <is>
          <t>Not Run</t>
        </is>
      </c>
      <c r="N5" s="17" t="inlineStr"/>
      <c r="O5" s="16" t="inlineStr"/>
      <c r="P5" s="16" t="inlineStr"/>
      <c r="Q5" s="16" t="inlineStr"/>
    </row>
    <row r="6">
      <c r="A6" s="18" t="inlineStr">
        <is>
          <t>PLAT-004</t>
        </is>
      </c>
      <c r="B6" s="19" t="inlineStr">
        <is>
          <t>Document Render</t>
        </is>
      </c>
      <c r="C6" s="19" t="inlineStr">
        <is>
          <t>Render an INVOICE document — source chosen via picker by invoice number</t>
        </is>
      </c>
      <c r="D6" s="8" t="inlineStr">
        <is>
          <t>Positive</t>
        </is>
      </c>
      <c r="E6" s="8" t="inlineStr">
        <is>
          <t>High</t>
        </is>
      </c>
      <c r="F6" s="19" t="inlineStr">
        <is>
          <t>Logged in as ORG_ADMIN (holds DOCUMENT.RENDER). A finalised sales invoice exists.</t>
        </is>
      </c>
      <c r="G6" s="19" t="inlineStr">
        <is>
          <t>1. On /admin/documents, click 'Render document'; choose Type = Invoice.
2. In the source picker select the invoice BY its invoice number (not uid).
3. Submit; observe toast and new log row.</t>
        </is>
      </c>
      <c r="H6" s="19" t="inlineStr">
        <is>
          <t>Invoice number: INV-2026-0007</t>
        </is>
      </c>
      <c r="I6" s="19" t="inlineStr">
        <is>
          <t>POST /api/v1/documents/render returns 200 GeneratedDocumentDto with downloadUrl. New row appears at top of log showing INVOICE badge. No uid typed or shown during the process. DOCUMENT.VIEW-only user cannot see the render button.</t>
        </is>
      </c>
      <c r="J6" s="19" t="inlineStr">
        <is>
          <t>/admin/documents</t>
        </is>
      </c>
      <c r="K6" s="19" t="inlineStr">
        <is>
          <t>DOCUMENT.RENDER</t>
        </is>
      </c>
      <c r="L6" s="19" t="inlineStr"/>
      <c r="M6" s="8" t="inlineStr">
        <is>
          <t>Not Run</t>
        </is>
      </c>
      <c r="N6" s="8" t="inlineStr"/>
      <c r="O6" s="19" t="inlineStr"/>
      <c r="P6" s="19" t="inlineStr"/>
      <c r="Q6" s="19" t="inlineStr"/>
    </row>
    <row r="7">
      <c r="A7" s="15" t="inlineStr">
        <is>
          <t>PLAT-005</t>
        </is>
      </c>
      <c r="B7" s="16" t="inlineStr">
        <is>
          <t>Document Render</t>
        </is>
      </c>
      <c r="C7" s="16" t="inlineStr">
        <is>
          <t>Render each renderable DocumentType: PURCHASE_ORDER, GOODS_RECEIPT, DELIVERY_NOTE, CREDIT_NOTE</t>
        </is>
      </c>
      <c r="D7" s="17" t="inlineStr">
        <is>
          <t>Positive</t>
        </is>
      </c>
      <c r="E7" s="17" t="inlineStr">
        <is>
          <t>High</t>
        </is>
      </c>
      <c r="F7" s="16" t="inlineStr">
        <is>
          <t>Logged in as ORG_ADMIN. Source records exist for each type.</t>
        </is>
      </c>
      <c r="G7" s="16" t="inlineStr">
        <is>
          <t>For each type (PURCHASE_ORDER, GOODS_RECEIPT, DELIVERY_NOTE, CREDIT_NOTE): 1. Open render form. 2. Select type; pick source by its human number. 3. Submit.</t>
        </is>
      </c>
      <c r="H7" s="16" t="inlineStr">
        <is>
          <t>PO-0003, GRN-0002, DEL-0005, RET-0001</t>
        </is>
      </c>
      <c r="I7" s="16" t="inlineStr">
        <is>
          <t>Each render succeeds (200). Correct documentType badge on the new row. Correct source linkage. Source picker for each type shows only records of that type.</t>
        </is>
      </c>
      <c r="J7" s="16" t="inlineStr">
        <is>
          <t>/admin/documents</t>
        </is>
      </c>
      <c r="K7" s="16" t="inlineStr">
        <is>
          <t>DOCUMENT.RENDER</t>
        </is>
      </c>
      <c r="L7" s="16" t="inlineStr"/>
      <c r="M7" s="17" t="inlineStr">
        <is>
          <t>Not Run</t>
        </is>
      </c>
      <c r="N7" s="17" t="inlineStr"/>
      <c r="O7" s="16" t="inlineStr"/>
      <c r="P7" s="16" t="inlineStr"/>
      <c r="Q7" s="16" t="inlineStr"/>
    </row>
    <row r="8">
      <c r="A8" s="18" t="inlineStr">
        <is>
          <t>PLAT-006</t>
        </is>
      </c>
      <c r="B8" s="19" t="inlineStr">
        <is>
          <t>Document Render</t>
        </is>
      </c>
      <c r="C8" s="19" t="inlineStr">
        <is>
          <t>Render an AR_STATEMENT with JSON sourceParams (customer chosen by name)</t>
        </is>
      </c>
      <c r="D8" s="8" t="inlineStr">
        <is>
          <t>Positive</t>
        </is>
      </c>
      <c r="E8" s="8" t="inlineStr">
        <is>
          <t>Medium</t>
        </is>
      </c>
      <c r="F8" s="19" t="inlineStr">
        <is>
          <t>Logged in as ACCOUNTANT (holds DOCUMENT.RENDER). A customer with open AR items exists.</t>
        </is>
      </c>
      <c r="G8" s="19" t="inlineStr">
        <is>
          <t>1. Open render form; choose Type = AR Statement.
2. The form switches to JSON params input; enter customer (chosen by name via picker) and date range.
3. Submit.</t>
        </is>
      </c>
      <c r="H8" s="19" t="inlineStr">
        <is>
          <t>customer: (picked by name), fromDate: 2026-01-01, toDate: 2026-06-30</t>
        </is>
      </c>
      <c r="I8" s="19" t="inlineStr">
        <is>
          <t>Statement renders; row shows AR_STATEMENT badge; 200 returned. AR_STATEMENT submitted with empty params returns inline validation error. Non-statement type with no source uid also fails inline.</t>
        </is>
      </c>
      <c r="J8" s="19" t="inlineStr">
        <is>
          <t>/admin/documents</t>
        </is>
      </c>
      <c r="K8" s="19" t="inlineStr">
        <is>
          <t>DOCUMENT.RENDER</t>
        </is>
      </c>
      <c r="L8" s="19" t="inlineStr"/>
      <c r="M8" s="8" t="inlineStr">
        <is>
          <t>Not Run</t>
        </is>
      </c>
      <c r="N8" s="8" t="inlineStr"/>
      <c r="O8" s="19" t="inlineStr"/>
      <c r="P8" s="19" t="inlineStr"/>
      <c r="Q8" s="19" t="inlineStr"/>
    </row>
    <row r="9">
      <c r="A9" s="15" t="inlineStr">
        <is>
          <t>PLAT-007</t>
        </is>
      </c>
      <c r="B9" s="16" t="inlineStr">
        <is>
          <t>Document Render</t>
        </is>
      </c>
      <c r="C9" s="16" t="inlineStr">
        <is>
          <t>Render a reserved DocumentType (PAYSLIP) is rejected by the server</t>
        </is>
      </c>
      <c r="D9" s="17" t="inlineStr">
        <is>
          <t>Negative</t>
        </is>
      </c>
      <c r="E9" s="17" t="inlineStr">
        <is>
          <t>Low</t>
        </is>
      </c>
      <c r="F9" s="16" t="inlineStr">
        <is>
          <t>Logged in as ORG_ADMIN.</t>
        </is>
      </c>
      <c r="G9" s="16" t="inlineStr">
        <is>
          <t>1. Call POST /api/v1/documents/render with documentType=PAYSLIP (not selectable in UI).</t>
        </is>
      </c>
      <c r="H9" s="16" t="inlineStr">
        <is>
          <t>documentType: PAYSLIP</t>
        </is>
      </c>
      <c r="I9" s="16" t="inlineStr">
        <is>
          <t>Request rejected with error envelope (4xx). No log row created. The UI does not offer PAYSLIP/QUOTATION/DEBIT_NOTE in the type select — server enforcement is the backstop.</t>
        </is>
      </c>
      <c r="J9" s="16" t="inlineStr">
        <is>
          <t>/admin/documents</t>
        </is>
      </c>
      <c r="K9" s="16" t="inlineStr">
        <is>
          <t>DOCUMENT.RENDER</t>
        </is>
      </c>
      <c r="L9" s="16" t="inlineStr"/>
      <c r="M9" s="17" t="inlineStr">
        <is>
          <t>Not Run</t>
        </is>
      </c>
      <c r="N9" s="17" t="inlineStr"/>
      <c r="O9" s="16" t="inlineStr"/>
      <c r="P9" s="16" t="inlineStr"/>
      <c r="Q9" s="16" t="inlineStr"/>
    </row>
    <row r="10">
      <c r="A10" s="18" t="inlineStr">
        <is>
          <t>PLAT-008</t>
        </is>
      </c>
      <c r="B10" s="19" t="inlineStr">
        <is>
          <t>Document Render</t>
        </is>
      </c>
      <c r="C10" s="19" t="inlineStr">
        <is>
          <t>Download a generated PDF (requires DOCUMENT.RENDER; DOCUMENT.VIEW-only is denied)</t>
        </is>
      </c>
      <c r="D10" s="8" t="inlineStr">
        <is>
          <t>Positive</t>
        </is>
      </c>
      <c r="E10" s="8" t="inlineStr">
        <is>
          <t>High</t>
        </is>
      </c>
      <c r="F10" s="19" t="inlineStr">
        <is>
          <t>Logged in as ORG_ADMIN. A generated-document row exists.</t>
        </is>
      </c>
      <c r="G10" s="19" t="inlineStr">
        <is>
          <t>1. On /admin/documents, click the row's Download action.
2. Assert a PDF blob downloads.</t>
        </is>
      </c>
      <c r="H10" s="19" t="inlineStr">
        <is>
          <t>Generated document: INV-2026-0007</t>
        </is>
      </c>
      <c r="I10" s="19" t="inlineStr">
        <is>
          <t>GET /api/v1/documents/uid/{uid}/download returns 200 application/pdf, Content-Disposition: attachment; filename='invoice-INV-2026-0007.pdf'. DOCUMENT.VIEW-only user: download returns 403. Cross-tenant uid: 403.</t>
        </is>
      </c>
      <c r="J10" s="19" t="inlineStr">
        <is>
          <t>/admin/documents</t>
        </is>
      </c>
      <c r="K10" s="19" t="inlineStr">
        <is>
          <t>DOCUMENT.RENDER</t>
        </is>
      </c>
      <c r="L10" s="19" t="inlineStr"/>
      <c r="M10" s="8" t="inlineStr">
        <is>
          <t>Not Run</t>
        </is>
      </c>
      <c r="N10" s="8" t="inlineStr"/>
      <c r="O10" s="19" t="inlineStr"/>
      <c r="P10" s="19" t="inlineStr"/>
      <c r="Q10" s="19" t="inlineStr"/>
    </row>
    <row r="11">
      <c r="A11" s="15" t="inlineStr">
        <is>
          <t>PLAT-009</t>
        </is>
      </c>
      <c r="B11" s="16" t="inlineStr">
        <is>
          <t>Document Templates</t>
        </is>
      </c>
      <c r="C11" s="16" t="inlineStr">
        <is>
          <t>Template registry lists + toggle a template status (DOCUMENT.TEMPLATE.MANAGE)</t>
        </is>
      </c>
      <c r="D11" s="17" t="inlineStr">
        <is>
          <t>Positive</t>
        </is>
      </c>
      <c r="E11" s="17" t="inlineStr">
        <is>
          <t>High</t>
        </is>
      </c>
      <c r="F11" s="16" t="inlineStr">
        <is>
          <t>Logged in as ORG_ADMIN. Seeded template registry rows exist.</t>
        </is>
      </c>
      <c r="G11" s="16" t="inlineStr">
        <is>
          <t>1. Navigate to /admin/document-templates; list loads (full array, not paginated).
2. On the INVOICE row, change status to INACTIVE and edit the title.
3. Save; reload to verify change persisted.</t>
        </is>
      </c>
      <c r="H11" s="16" t="inlineStr">
        <is>
          <t>Template: INVOICE / TRANSACTIONAL_PDF; title: Tax Invoice</t>
        </is>
      </c>
      <c r="I11" s="16" t="inlineStr">
        <is>
          <t>GET /api/v1/documents/templates returns the template array. PUT /api/v1/documents/templates/{uid} returns 200 with updated DocumentTemplateDto. Status reflected. User without DOCUMENT.TEMPLATE.MANAGE → 403 on PUT and nav item hidden.</t>
        </is>
      </c>
      <c r="J11" s="16" t="inlineStr">
        <is>
          <t>/admin/document-templates</t>
        </is>
      </c>
      <c r="K11" s="16" t="inlineStr">
        <is>
          <t>DOCUMENT.TEMPLATE.MANAGE</t>
        </is>
      </c>
      <c r="L11" s="16" t="inlineStr"/>
      <c r="M11" s="17" t="inlineStr">
        <is>
          <t>Not Run</t>
        </is>
      </c>
      <c r="N11" s="17" t="inlineStr"/>
      <c r="O11" s="16" t="inlineStr"/>
      <c r="P11" s="16" t="inlineStr"/>
      <c r="Q11" s="16" t="inlineStr"/>
    </row>
    <row r="12">
      <c r="A12" s="18" t="inlineStr">
        <is>
          <t>PLAT-010</t>
        </is>
      </c>
      <c r="B12" s="19" t="inlineStr">
        <is>
          <t>Document Branding</t>
        </is>
      </c>
      <c r="C12" s="19" t="inlineStr">
        <is>
          <t>Edit the company branding profile (singleton — no uid in URL)</t>
        </is>
      </c>
      <c r="D12" s="8" t="inlineStr">
        <is>
          <t>Positive</t>
        </is>
      </c>
      <c r="E12" s="8" t="inlineStr">
        <is>
          <t>High</t>
        </is>
      </c>
      <c r="F12" s="19" t="inlineStr">
        <is>
          <t>Logged in as ORG_ADMIN (holds DOCUMENT.BRANDING.MANAGE).</t>
        </is>
      </c>
      <c r="G12" s="19" t="inlineStr">
        <is>
          <t>1. Navigate to /admin/document-branding; the singleton profile loads into an edit form.
2. Edit display name, legal name, tax id, contact email.
3. Save; reload to verify values persisted.</t>
        </is>
      </c>
      <c r="H12" s="19" t="inlineStr">
        <is>
          <t>displayName: Acme Trading, legalName: Acme Trading Ltd, taxId: TIN-123456789, contactEmail: ar@acme.test</t>
        </is>
      </c>
      <c r="I12" s="19" t="inlineStr">
        <is>
          <t>PUT /api/v1/documents/branding returns 200 DocumentBrandingDto with updatedAt advanced. Changes persist on reload. Stale version returns conflict error. User without permission → 403; nav item hidden.</t>
        </is>
      </c>
      <c r="J12" s="19" t="inlineStr">
        <is>
          <t>/admin/document-branding</t>
        </is>
      </c>
      <c r="K12" s="19" t="inlineStr">
        <is>
          <t>DOCUMENT.BRANDING.MANAGE</t>
        </is>
      </c>
      <c r="L12" s="19" t="inlineStr"/>
      <c r="M12" s="8" t="inlineStr">
        <is>
          <t>Not Run</t>
        </is>
      </c>
      <c r="N12" s="8" t="inlineStr"/>
      <c r="O12" s="19" t="inlineStr"/>
      <c r="P12" s="19" t="inlineStr"/>
      <c r="Q12" s="19" t="inlineStr"/>
    </row>
    <row r="13">
      <c r="A13" s="15" t="inlineStr">
        <is>
          <t>PLAT-011</t>
        </is>
      </c>
      <c r="B13" s="16" t="inlineStr">
        <is>
          <t>Document Branding</t>
        </is>
      </c>
      <c r="C13" s="16" t="inlineStr">
        <is>
          <t>Updated branding is reflected in a freshly rendered document (visual check)</t>
        </is>
      </c>
      <c r="D13" s="17" t="inlineStr">
        <is>
          <t>Positive</t>
        </is>
      </c>
      <c r="E13" s="17" t="inlineStr">
        <is>
          <t>Medium</t>
        </is>
      </c>
      <c r="F13" s="16" t="inlineStr">
        <is>
          <t>Logged in as ORG_ADMIN. An invoice source exists.</t>
        </is>
      </c>
      <c r="G13" s="16" t="inlineStr">
        <is>
          <t>1. Change the branding display name.
2. Render a new INVOICE.
3. Download and open the PDF.</t>
        </is>
      </c>
      <c r="H13" s="16" t="inlineStr">
        <is>
          <t>New display name: Updated Co Name</t>
        </is>
      </c>
      <c r="I13" s="16" t="inlineStr">
        <is>
          <t>The rendered PDF header shows the updated branding display name. Previously generated documents are unchanged (append-only log). This is a visual/manual verification.</t>
        </is>
      </c>
      <c r="J13" s="16" t="inlineStr">
        <is>
          <t>/admin/document-branding</t>
        </is>
      </c>
      <c r="K13" s="16" t="inlineStr">
        <is>
          <t>DOCUMENT.BRANDING.MANAGE</t>
        </is>
      </c>
      <c r="L13" s="16" t="inlineStr"/>
      <c r="M13" s="17" t="inlineStr">
        <is>
          <t>Not Run</t>
        </is>
      </c>
      <c r="N13" s="17" t="inlineStr"/>
      <c r="O13" s="16" t="inlineStr"/>
      <c r="P13" s="16" t="inlineStr"/>
      <c r="Q13" s="16" t="inlineStr"/>
    </row>
  </sheetData>
  <autoFilter ref="A2:Q13"/>
  <mergeCells count="1">
    <mergeCell ref="A1:Q1"/>
  </mergeCells>
  <dataValidations count="4">
    <dataValidation sqref="D3:D13" showDropDown="0" showInputMessage="0" showErrorMessage="0" allowBlank="1" type="list">
      <formula1>"Positive,Negative,Permission,Edge"</formula1>
    </dataValidation>
    <dataValidation sqref="E3:E13" showDropDown="0" showInputMessage="0" showErrorMessage="0" allowBlank="1" type="list">
      <formula1>"High,Medium,Low"</formula1>
    </dataValidation>
    <dataValidation sqref="M3:M13" showDropDown="0" showInputMessage="0" showErrorMessage="0" allowBlank="1" type="list">
      <formula1>"Not Run,Pass,Fail,Blocked,N/A"</formula1>
    </dataValidation>
    <dataValidation sqref="N3:N13" showDropDown="0" showInputMessage="0" showErrorMessage="0" allowBlank="1"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Platform – Notifications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PLAT-012</t>
        </is>
      </c>
      <c r="B3" s="16" t="inlineStr">
        <is>
          <t>Inbox</t>
        </is>
      </c>
      <c r="C3" s="16" t="inlineStr">
        <is>
          <t>In-app inbox lists the caller's notifications scoped to active company</t>
        </is>
      </c>
      <c r="D3" s="17" t="inlineStr">
        <is>
          <t>Positive</t>
        </is>
      </c>
      <c r="E3" s="17" t="inlineStr">
        <is>
          <t>High</t>
        </is>
      </c>
      <c r="F3" s="16" t="inlineStr">
        <is>
          <t>Logged in as ACCOUNTANT (holds NOTIFICATION.VIEW). Notifications addressed to this user exist.</t>
        </is>
      </c>
      <c r="G3" s="16" t="inlineStr">
        <is>
          <t>1. Navigate to /admin/notifications.
2. Read rows: title, body, severity badge (INFO/WARNING/CRITICAL), created-at.</t>
        </is>
      </c>
      <c r="H3" s="16" t="inlineStr">
        <is>
          <t>ACCOUNTANT user with at least 3 notifications</t>
        </is>
      </c>
      <c r="I3" s="16" t="inlineStr">
        <is>
          <t>GET /api/v1/notifications returns 200 + meta. Only this user's company notifications shown. Severity badges are visually distinct. Paginator present. NO-PERMISSION user: forbidden.</t>
        </is>
      </c>
      <c r="J3" s="16" t="inlineStr">
        <is>
          <t>/admin/notifications</t>
        </is>
      </c>
      <c r="K3" s="16" t="inlineStr">
        <is>
          <t>NOTIFICATION.VIEW</t>
        </is>
      </c>
      <c r="L3" s="16" t="inlineStr"/>
      <c r="M3" s="17" t="inlineStr">
        <is>
          <t>Not Run</t>
        </is>
      </c>
      <c r="N3" s="17" t="inlineStr"/>
      <c r="O3" s="16" t="inlineStr"/>
      <c r="P3" s="16" t="inlineStr"/>
      <c r="Q3" s="16" t="inlineStr"/>
    </row>
    <row r="4">
      <c r="A4" s="18" t="inlineStr">
        <is>
          <t>PLAT-013</t>
        </is>
      </c>
      <c r="B4" s="19" t="inlineStr">
        <is>
          <t>Inbox</t>
        </is>
      </c>
      <c r="C4" s="19" t="inlineStr">
        <is>
          <t>Inbox unread filter and shell unread-count badge</t>
        </is>
      </c>
      <c r="D4" s="8" t="inlineStr">
        <is>
          <t>Positive</t>
        </is>
      </c>
      <c r="E4" s="8" t="inlineStr">
        <is>
          <t>Medium</t>
        </is>
      </c>
      <c r="F4" s="19" t="inlineStr">
        <is>
          <t>Logged in as ACCOUNTANT. Mix of read and unread notifications exist.</t>
        </is>
      </c>
      <c r="G4" s="19" t="inlineStr">
        <is>
          <t>1. Toggle 'Unread only' filter on — only unread rows show; request carries unread=true.
2. Read the shell unread-count badge; cross-check against GET /api/v1/notifications/unread-count.</t>
        </is>
      </c>
      <c r="H4" s="19" t="inlineStr">
        <is>
          <t>Mix of read + unread notifications</t>
        </is>
      </c>
      <c r="I4" s="19" t="inlineStr">
        <is>
          <t>Filtered list shows only unread. Badge value equals UnreadCountDto.count. With zero unread: filter shows empty state; badge shows 0 or is hidden. Page resets to 0 on filter toggle.</t>
        </is>
      </c>
      <c r="J4" s="19" t="inlineStr">
        <is>
          <t>/admin/notifications</t>
        </is>
      </c>
      <c r="K4" s="19" t="inlineStr">
        <is>
          <t>NOTIFICATION.VIEW</t>
        </is>
      </c>
      <c r="L4" s="19" t="inlineStr"/>
      <c r="M4" s="8" t="inlineStr">
        <is>
          <t>Not Run</t>
        </is>
      </c>
      <c r="N4" s="8" t="inlineStr"/>
      <c r="O4" s="19" t="inlineStr"/>
      <c r="P4" s="19" t="inlineStr"/>
      <c r="Q4" s="19" t="inlineStr"/>
    </row>
    <row r="5">
      <c r="A5" s="15" t="inlineStr">
        <is>
          <t>PLAT-014</t>
        </is>
      </c>
      <c r="B5" s="16" t="inlineStr">
        <is>
          <t>Inbox</t>
        </is>
      </c>
      <c r="C5" s="16" t="inlineStr">
        <is>
          <t>Mark a single notification read; marking another user's notification is denied</t>
        </is>
      </c>
      <c r="D5" s="17" t="inlineStr">
        <is>
          <t>Positive</t>
        </is>
      </c>
      <c r="E5" s="17" t="inlineStr">
        <is>
          <t>High</t>
        </is>
      </c>
      <c r="F5" s="16" t="inlineStr">
        <is>
          <t>Logged in as ACCOUNTANT. An unread notification exists for this user. Another user's notification uid is known.</t>
        </is>
      </c>
      <c r="G5" s="16" t="inlineStr">
        <is>
          <t>1. On /admin/notifications, click 'Mark read' on an unread row.
2. Assert the row flips to read and unread count decrements.
3. Attempt POST /api/v1/notifications/uid/{other-user-uid}/read.</t>
        </is>
      </c>
      <c r="H5" s="16" t="inlineStr">
        <is>
          <t>Own unread notification; another user's notification uid</t>
        </is>
      </c>
      <c r="I5" s="16" t="inlineStr">
        <is>
          <t>POST /api/v1/notifications/uid/{uid}/read returns 204. Row marked read; readAt set on next fetch. Another user's notification: 403 (recipient-is-me enforced by service, BR-NOTIF-04). Already-read row: no-op.</t>
        </is>
      </c>
      <c r="J5" s="16" t="inlineStr">
        <is>
          <t>/admin/notifications</t>
        </is>
      </c>
      <c r="K5" s="16" t="inlineStr">
        <is>
          <t>NOTIFICATION.VIEW</t>
        </is>
      </c>
      <c r="L5" s="16" t="inlineStr"/>
      <c r="M5" s="17" t="inlineStr">
        <is>
          <t>Not Run</t>
        </is>
      </c>
      <c r="N5" s="17" t="inlineStr"/>
      <c r="O5" s="16" t="inlineStr"/>
      <c r="P5" s="16" t="inlineStr"/>
      <c r="Q5" s="16" t="inlineStr"/>
    </row>
    <row r="6">
      <c r="A6" s="18" t="inlineStr">
        <is>
          <t>PLAT-015</t>
        </is>
      </c>
      <c r="B6" s="19" t="inlineStr">
        <is>
          <t>Inbox</t>
        </is>
      </c>
      <c r="C6" s="19" t="inlineStr">
        <is>
          <t>Mark all notifications read clears the unread count</t>
        </is>
      </c>
      <c r="D6" s="8" t="inlineStr">
        <is>
          <t>Positive</t>
        </is>
      </c>
      <c r="E6" s="8" t="inlineStr">
        <is>
          <t>Medium</t>
        </is>
      </c>
      <c r="F6" s="19" t="inlineStr">
        <is>
          <t>Logged in as ACCOUNTANT. Several unread notifications exist.</t>
        </is>
      </c>
      <c r="G6" s="19" t="inlineStr">
        <is>
          <t>1. Click 'Mark all read'.
2. Observe toast.
3. Reload — unread count is 0.</t>
        </is>
      </c>
      <c r="H6" s="19" t="inlineStr">
        <is>
          <t>Multiple unread notifications</t>
        </is>
      </c>
      <c r="I6" s="19" t="inlineStr">
        <is>
          <t>POST /api/v1/notifications/read-all returns 204. All caller notifications marked read. Badge cleared. With no unread: no-op success.</t>
        </is>
      </c>
      <c r="J6" s="19" t="inlineStr">
        <is>
          <t>/admin/notifications</t>
        </is>
      </c>
      <c r="K6" s="19" t="inlineStr">
        <is>
          <t>NOTIFICATION.VIEW</t>
        </is>
      </c>
      <c r="L6" s="19" t="inlineStr"/>
      <c r="M6" s="8" t="inlineStr">
        <is>
          <t>Not Run</t>
        </is>
      </c>
      <c r="N6" s="8" t="inlineStr"/>
      <c r="O6" s="19" t="inlineStr"/>
      <c r="P6" s="19" t="inlineStr"/>
      <c r="Q6" s="19" t="inlineStr"/>
    </row>
    <row r="7">
      <c r="A7" s="15" t="inlineStr">
        <is>
          <t>PLAT-016</t>
        </is>
      </c>
      <c r="B7" s="16" t="inlineStr">
        <is>
          <t>Preferences</t>
        </is>
      </c>
      <c r="C7" s="16" t="inlineStr">
        <is>
          <t>Per-user notification preferences: list and upsert a preference (NOTIFICATION.PREFERENCE.MANAGE)</t>
        </is>
      </c>
      <c r="D7" s="17" t="inlineStr">
        <is>
          <t>Positive</t>
        </is>
      </c>
      <c r="E7" s="17" t="inlineStr">
        <is>
          <t>High</t>
        </is>
      </c>
      <c r="F7" s="16" t="inlineStr">
        <is>
          <t>Logged in as ACCOUNTANT (holds NOTIFICATION.PREFERENCE.MANAGE). Type catalogue seeded.</t>
        </is>
      </c>
      <c r="G7" s="16" t="inlineStr">
        <is>
          <t>1. Navigate to /admin/notification-preferences; preferences load (plain array).
2. For typeKey LOW_STOCK, toggle muted=true and set channelsEnabled=IN_APP.
3. Save; reload to verify.</t>
        </is>
      </c>
      <c r="H7" s="16" t="inlineStr">
        <is>
          <t>typeKey: LOW_STOCK, muted: true, channelsEnabled: IN_APP</t>
        </is>
      </c>
      <c r="I7" s="16" t="inlineStr">
        <is>
          <t>PUT /api/v1/notification-preferences/{typeKey} returns 200 NotificationPreferenceDto. Preference persisted per-user scope. Unknown typeKey returns handled error. User without the permission: 403.</t>
        </is>
      </c>
      <c r="J7" s="16" t="inlineStr">
        <is>
          <t>/admin/notification-preferences</t>
        </is>
      </c>
      <c r="K7" s="16" t="inlineStr">
        <is>
          <t>NOTIFICATION.PREFERENCE.MANAGE</t>
        </is>
      </c>
      <c r="L7" s="16" t="inlineStr"/>
      <c r="M7" s="17" t="inlineStr">
        <is>
          <t>Not Run</t>
        </is>
      </c>
      <c r="N7" s="17" t="inlineStr"/>
      <c r="O7" s="16" t="inlineStr"/>
      <c r="P7" s="16" t="inlineStr"/>
      <c r="Q7" s="16" t="inlineStr"/>
    </row>
    <row r="8">
      <c r="A8" s="18" t="inlineStr">
        <is>
          <t>PLAT-017</t>
        </is>
      </c>
      <c r="B8" s="19" t="inlineStr">
        <is>
          <t>Admin Catalogue</t>
        </is>
      </c>
      <c r="C8" s="19" t="inlineStr">
        <is>
          <t>Admin notification type catalogue: list + toggle company state OFF (NOTIFICATION.ADMIN)</t>
        </is>
      </c>
      <c r="D8" s="8" t="inlineStr">
        <is>
          <t>Positive</t>
        </is>
      </c>
      <c r="E8" s="8" t="inlineStr">
        <is>
          <t>High</t>
        </is>
      </c>
      <c r="F8" s="19" t="inlineStr">
        <is>
          <t>Logged in as ORG_ADMIN (holds NOTIFICATION.ADMIN). Type catalogue seeded.</t>
        </is>
      </c>
      <c r="G8" s="19" t="inlineStr">
        <is>
          <t>1. Navigate to /admin/notification-types; types load with displayName, audiencePermission, severity, companyEnabled.
2. Toggle typeKey LOW_STOCK company state to disabled (enabled=false).
3. Reload — companyEnabled: false.</t>
        </is>
      </c>
      <c r="H8" s="19" t="inlineStr">
        <is>
          <t>typeKey: LOW_STOCK</t>
        </is>
      </c>
      <c r="I8" s="19" t="inlineStr">
        <is>
          <t>PUT /api/v1/admin/notifications/types/{typeKey}/state returns 200 NotificationTypeDto. companyEnabled=false. Per-company scope — other companies unaffected. NOTIFICATION.VIEW-only user: 403 on toggle; nav item hidden.</t>
        </is>
      </c>
      <c r="J8" s="19" t="inlineStr">
        <is>
          <t>/admin/notification-types</t>
        </is>
      </c>
      <c r="K8" s="19" t="inlineStr">
        <is>
          <t>NOTIFICATION.ADMIN</t>
        </is>
      </c>
      <c r="L8" s="19" t="inlineStr"/>
      <c r="M8" s="8" t="inlineStr">
        <is>
          <t>Not Run</t>
        </is>
      </c>
      <c r="N8" s="8" t="inlineStr"/>
      <c r="O8" s="19" t="inlineStr"/>
      <c r="P8" s="19" t="inlineStr"/>
      <c r="Q8" s="19" t="inlineStr"/>
    </row>
    <row r="9">
      <c r="A9" s="15" t="inlineStr">
        <is>
          <t>PLAT-018</t>
        </is>
      </c>
      <c r="B9" s="16" t="inlineStr">
        <is>
          <t>Admin Delivery Log</t>
        </is>
      </c>
      <c r="C9" s="16" t="inlineStr">
        <is>
          <t>Admin delivery log lists + filters by channel and outcome (NOTIFICATION.ADMIN)</t>
        </is>
      </c>
      <c r="D9" s="17" t="inlineStr">
        <is>
          <t>Positive</t>
        </is>
      </c>
      <c r="E9" s="17" t="inlineStr">
        <is>
          <t>High</t>
        </is>
      </c>
      <c r="F9" s="16" t="inlineStr">
        <is>
          <t>Logged in as ORG_ADMIN. Delivery attempts of mixed channel/outcome exist.</t>
        </is>
      </c>
      <c r="G9" s="16" t="inlineStr">
        <is>
          <t>1. Navigate to /admin/notification-deliveries; paged delivery log loads.
2. Filter channel=EMAIL → only EMAIL rows.
3. Filter outcome=SUPPRESSED → assert suppressionReason column populated (NO_EMAIL, CHANNEL_DISABLED, COMPANY_TYPE_OFF, MUTED, or NO_AUDIENCE).</t>
        </is>
      </c>
      <c r="H9" s="16" t="inlineStr">
        <is>
          <t>channel: EMAIL; outcome: SUPPRESSED</t>
        </is>
      </c>
      <c r="I9" s="16" t="inlineStr">
        <is>
          <t>GET /api/v1/admin/notifications/deliveries returns 200 + meta. Correct filtered subsets. outcome + suppressionReason visible (answers 'why didn't I get it?'). Empty filter → empty state.</t>
        </is>
      </c>
      <c r="J9" s="16" t="inlineStr">
        <is>
          <t>/admin/notification-deliveries</t>
        </is>
      </c>
      <c r="K9" s="16" t="inlineStr">
        <is>
          <t>NOTIFICATION.ADMIN</t>
        </is>
      </c>
      <c r="L9" s="16" t="inlineStr"/>
      <c r="M9" s="17" t="inlineStr">
        <is>
          <t>Not Run</t>
        </is>
      </c>
      <c r="N9" s="17" t="inlineStr"/>
      <c r="O9" s="16" t="inlineStr"/>
      <c r="P9" s="16" t="inlineStr"/>
      <c r="Q9" s="16" t="inlineStr"/>
    </row>
  </sheetData>
  <autoFilter ref="A2:Q9"/>
  <mergeCells count="1">
    <mergeCell ref="A1:Q1"/>
  </mergeCells>
  <dataValidations count="4">
    <dataValidation sqref="D3:D9" showDropDown="0" showInputMessage="0" showErrorMessage="0" allowBlank="1" type="list">
      <formula1>"Positive,Negative,Permission,Edge"</formula1>
    </dataValidation>
    <dataValidation sqref="E3:E9" showDropDown="0" showInputMessage="0" showErrorMessage="0" allowBlank="1" type="list">
      <formula1>"High,Medium,Low"</formula1>
    </dataValidation>
    <dataValidation sqref="M3:M9" showDropDown="0" showInputMessage="0" showErrorMessage="0" allowBlank="1" type="list">
      <formula1>"Not Run,Pass,Fail,Blocked,N/A"</formula1>
    </dataValidation>
    <dataValidation sqref="N3:N9" showDropDown="0" showInputMessage="0" showErrorMessage="0" allowBlank="1" type="list">
      <formula1>"-,Critical,High,Medium,Low"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9"/>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Platform – Approvals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PLAT-019</t>
        </is>
      </c>
      <c r="B3" s="16" t="inlineStr">
        <is>
          <t>Approval Policies</t>
        </is>
      </c>
      <c r="C3" s="16" t="inlineStr">
        <is>
          <t>Approval policy list for the active company (APPROVALS.POLICY.VIEW)</t>
        </is>
      </c>
      <c r="D3" s="17" t="inlineStr">
        <is>
          <t>Positive</t>
        </is>
      </c>
      <c r="E3" s="17" t="inlineStr">
        <is>
          <t>High</t>
        </is>
      </c>
      <c r="F3" s="16" t="inlineStr">
        <is>
          <t>Logged in as ORG_ADMIN. At least one policy exists.</t>
        </is>
      </c>
      <c r="G3" s="16" t="inlineStr">
        <is>
          <t>1. Navigate to /admin/approvals/policies.
2. Read list: name, documentType, branchScope, amount band, status.</t>
        </is>
      </c>
      <c r="H3" s="16" t="inlineStr">
        <is>
          <t>Any company with policies</t>
        </is>
      </c>
      <c r="I3" s="16" t="inlineStr">
        <is>
          <t>GET /api/v1/approvals/policies returns 200 + meta. Paginator present. No raw uid in cells. Amount band formatted. NO-PERMISSION: nav items hidden; forbidden state.</t>
        </is>
      </c>
      <c r="J3" s="16" t="inlineStr">
        <is>
          <t>/admin/approvals/policies</t>
        </is>
      </c>
      <c r="K3" s="16" t="inlineStr">
        <is>
          <t>APPROVALS.POLICY.VIEW</t>
        </is>
      </c>
      <c r="L3" s="16" t="inlineStr"/>
      <c r="M3" s="17" t="inlineStr">
        <is>
          <t>Not Run</t>
        </is>
      </c>
      <c r="N3" s="17" t="inlineStr"/>
      <c r="O3" s="16" t="inlineStr"/>
      <c r="P3" s="16" t="inlineStr"/>
      <c r="Q3" s="16" t="inlineStr"/>
    </row>
    <row r="4">
      <c r="A4" s="18" t="inlineStr">
        <is>
          <t>PLAT-020</t>
        </is>
      </c>
      <c r="B4" s="19" t="inlineStr">
        <is>
          <t>Approval Policies</t>
        </is>
      </c>
      <c r="C4" s="19" t="inlineStr">
        <is>
          <t>Create a COMPANY_WIDE single-step approval policy (APPROVALS.POLICY.MANAGE)</t>
        </is>
      </c>
      <c r="D4" s="8" t="inlineStr">
        <is>
          <t>Positive</t>
        </is>
      </c>
      <c r="E4" s="8" t="inlineStr">
        <is>
          <t>High</t>
        </is>
      </c>
      <c r="F4" s="19" t="inlineStr">
        <is>
          <t>Logged in as ORG_ADMIN. A role code (ACCOUNTANT) exists to use as approverRoleCode.</t>
        </is>
      </c>
      <c r="G4" s="19" t="inlineStr">
        <is>
          <t>1. Click 'New policy'; set documentType=PURCHASE_ORDER, name, branchScope=COMPANY_WIDE.
2. Set minAmount=0, maxAmount=1000000; add 1 step with approverRoleCode=ACCOUNTANT.
3. Submit.</t>
        </is>
      </c>
      <c r="H4" s="19" t="inlineStr">
        <is>
          <t>documentType: PURCHASE_ORDER, name: PO &lt;= 1M -&gt; Accountant, minAmount: 0, maxAmount: 1000000, step1 role: ACCOUNTANT</t>
        </is>
      </c>
      <c r="I4" s="19" t="inlineStr">
        <is>
          <t>POST /api/v1/approvals/policies returns 201 ApprovalPolicyDto. List reloads with the new ACTIVE policy. Missing name/documentType/minAmount → inline validation, no POST. Empty steps → 'At least one approval step is required'. POLICY.VIEW-only user: 403.</t>
        </is>
      </c>
      <c r="J4" s="19" t="inlineStr">
        <is>
          <t>/admin/approvals/policies</t>
        </is>
      </c>
      <c r="K4" s="19" t="inlineStr">
        <is>
          <t>APPROVALS.POLICY.MANAGE</t>
        </is>
      </c>
      <c r="L4" s="19" t="inlineStr"/>
      <c r="M4" s="8" t="inlineStr">
        <is>
          <t>Not Run</t>
        </is>
      </c>
      <c r="N4" s="8" t="inlineStr"/>
      <c r="O4" s="19" t="inlineStr"/>
      <c r="P4" s="19" t="inlineStr"/>
      <c r="Q4" s="19" t="inlineStr"/>
    </row>
    <row r="5">
      <c r="A5" s="15" t="inlineStr">
        <is>
          <t>PLAT-021</t>
        </is>
      </c>
      <c r="B5" s="16" t="inlineStr">
        <is>
          <t>Approval Policies</t>
        </is>
      </c>
      <c r="C5" s="16" t="inlineStr">
        <is>
          <t>Create a BRANCH-scoped policy; branch chosen via picker by name</t>
        </is>
      </c>
      <c r="D5" s="17" t="inlineStr">
        <is>
          <t>Positive</t>
        </is>
      </c>
      <c r="E5" s="17" t="inlineStr">
        <is>
          <t>High</t>
        </is>
      </c>
      <c r="F5" s="16" t="inlineStr">
        <is>
          <t>Logged in as ORG_ADMIN. Multi-branch company; a non-default ACTIVE branch exists.</t>
        </is>
      </c>
      <c r="G5" s="16" t="inlineStr">
        <is>
          <t>1. New policy; set branchScope=BRANCH; the branch picker appears.
2. Choose the non-default branch BY NAME.
3. Fill documentType and a step; submit.</t>
        </is>
      </c>
      <c r="H5" s="16" t="inlineStr">
        <is>
          <t>branch: Mwanza Depot (non-default), documentType: PURCHASE_ORDER, step role: PURCHASE_OFFICER</t>
        </is>
      </c>
      <c r="I5" s="16" t="inlineStr">
        <is>
          <t>Policy created with branchScope=BRANCH and branchId set to the picked branch; 201. branchScope=BRANCH with no branch chosen → inline 'Branch UID is required when branch scope is BRANCH'. COMPANY_WIDE with a branchUid → rejected by server.</t>
        </is>
      </c>
      <c r="J5" s="16" t="inlineStr">
        <is>
          <t>/admin/approvals/policies</t>
        </is>
      </c>
      <c r="K5" s="16" t="inlineStr">
        <is>
          <t>APPROVALS.POLICY.MANAGE</t>
        </is>
      </c>
      <c r="L5" s="16" t="inlineStr"/>
      <c r="M5" s="17" t="inlineStr">
        <is>
          <t>Not Run</t>
        </is>
      </c>
      <c r="N5" s="17" t="inlineStr"/>
      <c r="O5" s="16" t="inlineStr"/>
      <c r="P5" s="16" t="inlineStr"/>
      <c r="Q5" s="16" t="inlineStr"/>
    </row>
    <row r="6">
      <c r="A6" s="18" t="inlineStr">
        <is>
          <t>PLAT-022</t>
        </is>
      </c>
      <c r="B6" s="19" t="inlineStr">
        <is>
          <t>Approval Policies</t>
        </is>
      </c>
      <c r="C6" s="19" t="inlineStr">
        <is>
          <t>Create a multi-step policy; sequences are dense from 1</t>
        </is>
      </c>
      <c r="D6" s="8" t="inlineStr">
        <is>
          <t>Positive</t>
        </is>
      </c>
      <c r="E6" s="8" t="inlineStr">
        <is>
          <t>High</t>
        </is>
      </c>
      <c r="F6" s="19" t="inlineStr">
        <is>
          <t>Logged in as ORG_ADMIN. At least 2 role codes exist.</t>
        </is>
      </c>
      <c r="G6" s="19" t="inlineStr">
        <is>
          <t>1. New policy; add 2 steps (ACCOUNTANT, ORG_ADMIN).
2. Remove the middle step — remaining step resequences to dense 1.
3. Submit.</t>
        </is>
      </c>
      <c r="H6" s="19" t="inlineStr">
        <is>
          <t>step1 role: ACCOUNTANT, step2 role: ORG_ADMIN</t>
        </is>
      </c>
      <c r="I6" s="19" t="inlineStr">
        <is>
          <t>Policy created with steps in order (sequences dense from 1). Blank approverRoleCode on a step → 'Step N: approver role code is required'. Non-dense sequences are prevented by the UI's resequencing.</t>
        </is>
      </c>
      <c r="J6" s="19" t="inlineStr">
        <is>
          <t>/admin/approvals/policies</t>
        </is>
      </c>
      <c r="K6" s="19" t="inlineStr">
        <is>
          <t>APPROVALS.POLICY.MANAGE</t>
        </is>
      </c>
      <c r="L6" s="19" t="inlineStr"/>
      <c r="M6" s="8" t="inlineStr">
        <is>
          <t>Not Run</t>
        </is>
      </c>
      <c r="N6" s="8" t="inlineStr"/>
      <c r="O6" s="19" t="inlineStr"/>
      <c r="P6" s="19" t="inlineStr"/>
      <c r="Q6" s="19" t="inlineStr"/>
    </row>
    <row r="7">
      <c r="A7" s="15" t="inlineStr">
        <is>
          <t>PLAT-023</t>
        </is>
      </c>
      <c r="B7" s="16" t="inlineStr">
        <is>
          <t>Approval Policies</t>
        </is>
      </c>
      <c r="C7" s="16" t="inlineStr">
        <is>
          <t>Create an unbounded top-band policy (maxAmount null)</t>
        </is>
      </c>
      <c r="D7" s="17" t="inlineStr">
        <is>
          <t>Edge</t>
        </is>
      </c>
      <c r="E7" s="17" t="inlineStr">
        <is>
          <t>Medium</t>
        </is>
      </c>
      <c r="F7" s="16" t="inlineStr">
        <is>
          <t>Logged in as ORG_ADMIN.</t>
        </is>
      </c>
      <c r="G7" s="16" t="inlineStr">
        <is>
          <t>1. New policy; set minAmount=1000000; leave maxAmount blank; submit.</t>
        </is>
      </c>
      <c r="H7" s="16" t="inlineStr">
        <is>
          <t>minAmount: 1000000, maxAmount: (blank)</t>
        </is>
      </c>
      <c r="I7" s="16" t="inlineStr">
        <is>
          <t>Policy created with maxAmount=null (top band). List shows '&gt;= 1,000,000' or unbounded indicator. minAmount blank → required error. Negative minAmount → DecimalMin('0') rejection.</t>
        </is>
      </c>
      <c r="J7" s="16" t="inlineStr">
        <is>
          <t>/admin/approvals/policies</t>
        </is>
      </c>
      <c r="K7" s="16" t="inlineStr">
        <is>
          <t>APPROVALS.POLICY.MANAGE</t>
        </is>
      </c>
      <c r="L7" s="16" t="inlineStr"/>
      <c r="M7" s="17" t="inlineStr">
        <is>
          <t>Not Run</t>
        </is>
      </c>
      <c r="N7" s="17" t="inlineStr"/>
      <c r="O7" s="16" t="inlineStr"/>
      <c r="P7" s="16" t="inlineStr"/>
      <c r="Q7" s="16" t="inlineStr"/>
    </row>
    <row r="8">
      <c r="A8" s="18" t="inlineStr">
        <is>
          <t>PLAT-024</t>
        </is>
      </c>
      <c r="B8" s="19" t="inlineStr">
        <is>
          <t>Approval Policies</t>
        </is>
      </c>
      <c r="C8" s="19" t="inlineStr">
        <is>
          <t>Edit a policy (saves changes; in-flight PENDING requests are unaffected)</t>
        </is>
      </c>
      <c r="D8" s="8" t="inlineStr">
        <is>
          <t>Positive</t>
        </is>
      </c>
      <c r="E8" s="8" t="inlineStr">
        <is>
          <t>High</t>
        </is>
      </c>
      <c r="F8" s="19" t="inlineStr">
        <is>
          <t>Logged in as ORG_ADMIN. An ACTIVE policy with a PENDING in-flight request under it.</t>
        </is>
      </c>
      <c r="G8" s="19" t="inlineStr">
        <is>
          <t>1. Open the policy detail by clicking a list row.
2. Change name and a step role; save.
3. Verify the previously-submitted PENDING request is unchanged.</t>
        </is>
      </c>
      <c r="H8" s="19" t="inlineStr">
        <is>
          <t>New name: PO &lt;= 1M v2</t>
        </is>
      </c>
      <c r="I8" s="19" t="inlineStr">
        <is>
          <t>PUT /api/v1/approvals/policies/uid/{uid} returns 200. In-flight request retains its original chain (BR-APR-05 — edits affect only future submissions). POLICY.VIEW-only user: save button hidden / 403 on PUT.</t>
        </is>
      </c>
      <c r="J8" s="19" t="inlineStr">
        <is>
          <t>/admin/approvals/policies/uid/:uid</t>
        </is>
      </c>
      <c r="K8" s="19" t="inlineStr">
        <is>
          <t>APPROVALS.POLICY.MANAGE</t>
        </is>
      </c>
      <c r="L8" s="19" t="inlineStr"/>
      <c r="M8" s="8" t="inlineStr">
        <is>
          <t>Not Run</t>
        </is>
      </c>
      <c r="N8" s="8" t="inlineStr"/>
      <c r="O8" s="19" t="inlineStr"/>
      <c r="P8" s="19" t="inlineStr"/>
      <c r="Q8" s="19" t="inlineStr"/>
    </row>
    <row r="9">
      <c r="A9" s="15" t="inlineStr">
        <is>
          <t>PLAT-025</t>
        </is>
      </c>
      <c r="B9" s="16" t="inlineStr">
        <is>
          <t>Approval Policies</t>
        </is>
      </c>
      <c r="C9" s="16" t="inlineStr">
        <is>
          <t>Deactivate a policy (ACTIVE → INACTIVE); re-deactivating an inactive policy blocked</t>
        </is>
      </c>
      <c r="D9" s="17" t="inlineStr">
        <is>
          <t>Positive</t>
        </is>
      </c>
      <c r="E9" s="17" t="inlineStr">
        <is>
          <t>High</t>
        </is>
      </c>
      <c r="F9" s="16" t="inlineStr">
        <is>
          <t>Logged in as ORG_ADMIN. An ACTIVE policy exists.</t>
        </is>
      </c>
      <c r="G9" s="16" t="inlineStr">
        <is>
          <t>1. On policy detail, click Deactivate.
2. Assert status flips to INACTIVE and Deactivate control is now hidden.
3. Verify the control does not appear when already INACTIVE.</t>
        </is>
      </c>
      <c r="H9" s="16" t="inlineStr">
        <is>
          <t>Policy: PO &lt;= 1M v2 (ACTIVE)</t>
        </is>
      </c>
      <c r="I9" s="16" t="inlineStr">
        <is>
          <t>POST /api/v1/approvals/policies/uid/{uid}/deactivate returns 200 with status=INACTIVE. Control is hidden for INACTIVE policies (UI guards illegal transition). User without MANAGE → 403.</t>
        </is>
      </c>
      <c r="J9" s="16" t="inlineStr">
        <is>
          <t>/admin/approvals/policies/uid/:uid</t>
        </is>
      </c>
      <c r="K9" s="16" t="inlineStr">
        <is>
          <t>APPROVALS.POLICY.MANAGE</t>
        </is>
      </c>
      <c r="L9" s="16" t="inlineStr"/>
      <c r="M9" s="17" t="inlineStr">
        <is>
          <t>Not Run</t>
        </is>
      </c>
      <c r="N9" s="17" t="inlineStr"/>
      <c r="O9" s="16" t="inlineStr"/>
      <c r="P9" s="16" t="inlineStr"/>
      <c r="Q9" s="16" t="inlineStr"/>
    </row>
    <row r="10">
      <c r="A10" s="18" t="inlineStr">
        <is>
          <t>PLAT-026</t>
        </is>
      </c>
      <c r="B10" s="19" t="inlineStr">
        <is>
          <t>Approval Requests</t>
        </is>
      </c>
      <c r="C10" s="19" t="inlineStr">
        <is>
          <t>Approval inbox shows PENDING requests the caller can decide (APPROVALS.DECIDE)</t>
        </is>
      </c>
      <c r="D10" s="8" t="inlineStr">
        <is>
          <t>Positive</t>
        </is>
      </c>
      <c r="E10" s="8" t="inlineStr">
        <is>
          <t>High</t>
        </is>
      </c>
      <c r="F10" s="19" t="inlineStr">
        <is>
          <t>ACCOUNTANT logged in (the approver role for the seeded policy step). A PENDING request exists whose current open step routes to ACCOUNTANT.</t>
        </is>
      </c>
      <c r="G10" s="19" t="inlineStr">
        <is>
          <t>1. Navigate to /admin/approvals/inbox.
2. Read rows: requestNumber, documentType, amount, status badge.</t>
        </is>
      </c>
      <c r="H10" s="19" t="inlineStr">
        <is>
          <t>PENDING request routed to ACCOUNTANT</t>
        </is>
      </c>
      <c r="I10" s="19" t="inlineStr">
        <is>
          <t>GET /api/v1/approvals/requests/inbox returns 200 + meta. Only requests where caller can decide the current open step appear. NO-DECIDE user → forbidden. Status badge shows PENDING.</t>
        </is>
      </c>
      <c r="J10" s="19" t="inlineStr">
        <is>
          <t>/admin/approvals/inbox</t>
        </is>
      </c>
      <c r="K10" s="19" t="inlineStr">
        <is>
          <t>APPROVALS.DECIDE</t>
        </is>
      </c>
      <c r="L10" s="19" t="inlineStr"/>
      <c r="M10" s="8" t="inlineStr">
        <is>
          <t>Not Run</t>
        </is>
      </c>
      <c r="N10" s="8" t="inlineStr"/>
      <c r="O10" s="19" t="inlineStr"/>
      <c r="P10" s="19" t="inlineStr"/>
      <c r="Q10" s="19" t="inlineStr"/>
    </row>
    <row r="11">
      <c r="A11" s="15" t="inlineStr">
        <is>
          <t>PLAT-027</t>
        </is>
      </c>
      <c r="B11" s="16" t="inlineStr">
        <is>
          <t>Approval Requests</t>
        </is>
      </c>
      <c r="C11" s="16" t="inlineStr">
        <is>
          <t>All-requests list + filter by status (APPROVALS.REQUEST.VIEW)</t>
        </is>
      </c>
      <c r="D11" s="17" t="inlineStr">
        <is>
          <t>Positive</t>
        </is>
      </c>
      <c r="E11" s="17" t="inlineStr">
        <is>
          <t>High</t>
        </is>
      </c>
      <c r="F11" s="16" t="inlineStr">
        <is>
          <t>ORG_ADMIN logged in. Requests across multiple statuses exist.</t>
        </is>
      </c>
      <c r="G11" s="16" t="inlineStr">
        <is>
          <t>1. Navigate to /admin/approvals/requests.
2. Filter status=PENDING → only PENDING. Then APPROVED. Then REJECTED. Clear → all.</t>
        </is>
      </c>
      <c r="H11" s="16" t="inlineStr">
        <is>
          <t>Mixed-status requests</t>
        </is>
      </c>
      <c r="I11" s="16" t="inlineStr">
        <is>
          <t>Server filter status=... returns correct subset. Page resets to 0 on filter change. Status badge per row. Company-scoped (only active company's requests).</t>
        </is>
      </c>
      <c r="J11" s="16" t="inlineStr">
        <is>
          <t>/admin/approvals/requests</t>
        </is>
      </c>
      <c r="K11" s="16" t="inlineStr">
        <is>
          <t>APPROVALS.REQUEST.VIEW</t>
        </is>
      </c>
      <c r="L11" s="16" t="inlineStr"/>
      <c r="M11" s="17" t="inlineStr">
        <is>
          <t>Not Run</t>
        </is>
      </c>
      <c r="N11" s="17" t="inlineStr"/>
      <c r="O11" s="16" t="inlineStr"/>
      <c r="P11" s="16" t="inlineStr"/>
      <c r="Q11" s="16" t="inlineStr"/>
    </row>
    <row r="12">
      <c r="A12" s="18" t="inlineStr">
        <is>
          <t>PLAT-028</t>
        </is>
      </c>
      <c r="B12" s="19" t="inlineStr">
        <is>
          <t>Approval Requests</t>
        </is>
      </c>
      <c r="C12" s="19" t="inlineStr">
        <is>
          <t>Request detail shows the step chain and current open step</t>
        </is>
      </c>
      <c r="D12" s="8" t="inlineStr">
        <is>
          <t>Positive</t>
        </is>
      </c>
      <c r="E12" s="8" t="inlineStr">
        <is>
          <t>High</t>
        </is>
      </c>
      <c r="F12" s="19" t="inlineStr">
        <is>
          <t>ORG_ADMIN logged in. A multi-step PENDING request exists.</t>
        </is>
      </c>
      <c r="G12" s="19" t="inlineStr">
        <is>
          <t>1. Open the request detail from the list row.
2. Read header (requestNumber, documentType, amount, currency, status, submittedBy/At) and steps table.</t>
        </is>
      </c>
      <c r="H12" s="19" t="inlineStr">
        <is>
          <t>Multi-step PENDING request</t>
        </is>
      </c>
      <c r="I12" s="19" t="inlineStr">
        <is>
          <t>GET /api/v1/approvals/requests/uid/{uid} returns ApprovalRequestDto incl. steps[]. Current open step = lowest-sequence PENDING. uid in URL only — never as visible text. Amount and dates formatted. Cross-tenant request uid → forbidden.</t>
        </is>
      </c>
      <c r="J12" s="19" t="inlineStr">
        <is>
          <t>/admin/approvals/requests/uid/:uid</t>
        </is>
      </c>
      <c r="K12" s="19" t="inlineStr">
        <is>
          <t>APPROVALS.REQUEST.VIEW</t>
        </is>
      </c>
      <c r="L12" s="19" t="inlineStr"/>
      <c r="M12" s="8" t="inlineStr">
        <is>
          <t>Not Run</t>
        </is>
      </c>
      <c r="N12" s="8" t="inlineStr"/>
      <c r="O12" s="19" t="inlineStr"/>
      <c r="P12" s="19" t="inlineStr"/>
      <c r="Q12" s="19" t="inlineStr"/>
    </row>
    <row r="13">
      <c r="A13" s="15" t="inlineStr">
        <is>
          <t>PLAT-029</t>
        </is>
      </c>
      <c r="B13" s="16" t="inlineStr">
        <is>
          <t>Approval Requests</t>
        </is>
      </c>
      <c r="C13" s="16" t="inlineStr">
        <is>
          <t>Approve the current open step; single-step → APPROVED; multi-step stays PENDING, advances</t>
        </is>
      </c>
      <c r="D13" s="17" t="inlineStr">
        <is>
          <t>Positive</t>
        </is>
      </c>
      <c r="E13" s="17" t="inlineStr">
        <is>
          <t>High</t>
        </is>
      </c>
      <c r="F13" s="16" t="inlineStr">
        <is>
          <t>ACCOUNTANT logged in (current-step approver). A PENDING request on a step routed to ACCOUNTANT.</t>
        </is>
      </c>
      <c r="G13" s="16" t="inlineStr">
        <is>
          <t>1. On request detail, click Approve; add a comment; submit.
2. For single-step: assert status → APPROVED.
3. For multi-step: assert this step → APPROVED; request still PENDING with next step open.</t>
        </is>
      </c>
      <c r="H13" s="16" t="inlineStr">
        <is>
          <t>comment: Looks good</t>
        </is>
      </c>
      <c r="I13" s="16" t="inlineStr">
        <is>
          <t>POST /api/v1/approvals/requests/uid/{uid}/approve returns updated ApprovalRequestDto. Correct status per variation. Only the current-step approver may decide (BR-APR-04). Non-approver with APPROVALS.DECIDE but wrong role → service routing denial.</t>
        </is>
      </c>
      <c r="J13" s="16" t="inlineStr">
        <is>
          <t>/admin/approvals/requests/uid/:uid</t>
        </is>
      </c>
      <c r="K13" s="16" t="inlineStr">
        <is>
          <t>APPROVALS.DECIDE</t>
        </is>
      </c>
      <c r="L13" s="16" t="inlineStr"/>
      <c r="M13" s="17" t="inlineStr">
        <is>
          <t>Not Run</t>
        </is>
      </c>
      <c r="N13" s="17" t="inlineStr"/>
      <c r="O13" s="16" t="inlineStr"/>
      <c r="P13" s="16" t="inlineStr"/>
      <c r="Q13" s="16" t="inlineStr"/>
    </row>
    <row r="14">
      <c r="A14" s="18" t="inlineStr">
        <is>
          <t>PLAT-030</t>
        </is>
      </c>
      <c r="B14" s="19" t="inlineStr">
        <is>
          <t>Approval Requests</t>
        </is>
      </c>
      <c r="C14" s="19" t="inlineStr">
        <is>
          <t>Reject the current open step; entire chain killed (later steps → SKIPPED)</t>
        </is>
      </c>
      <c r="D14" s="8" t="inlineStr">
        <is>
          <t>Positive</t>
        </is>
      </c>
      <c r="E14" s="8" t="inlineStr">
        <is>
          <t>High</t>
        </is>
      </c>
      <c r="F14" s="19" t="inlineStr">
        <is>
          <t>ACCOUNTANT logged in. A multi-step PENDING request on step 1.</t>
        </is>
      </c>
      <c r="G14" s="19" t="inlineStr">
        <is>
          <t>1. On request detail, click Reject; add comment; submit.
2. Check status of the request and all steps.</t>
        </is>
      </c>
      <c r="H14" s="19" t="inlineStr">
        <is>
          <t>comment: Budget exceeded; multi-step request</t>
        </is>
      </c>
      <c r="I14" s="19" t="inlineStr">
        <is>
          <t>POST /api/v1/approvals/requests/uid/{uid}/reject returns status=REJECTED. Step 1 → REJECTED. Remaining steps → SKIPPED. This is terminal — Approve/Reject/Recall controls are hidden. Any further forced API call rejected (BR-APR-07).</t>
        </is>
      </c>
      <c r="J14" s="19" t="inlineStr">
        <is>
          <t>/admin/approvals/requests/uid/:uid</t>
        </is>
      </c>
      <c r="K14" s="19" t="inlineStr">
        <is>
          <t>APPROVALS.DECIDE</t>
        </is>
      </c>
      <c r="L14" s="19" t="inlineStr"/>
      <c r="M14" s="8" t="inlineStr">
        <is>
          <t>Not Run</t>
        </is>
      </c>
      <c r="N14" s="8" t="inlineStr"/>
      <c r="O14" s="19" t="inlineStr"/>
      <c r="P14" s="19" t="inlineStr"/>
      <c r="Q14" s="19" t="inlineStr"/>
    </row>
    <row r="15">
      <c r="A15" s="15" t="inlineStr">
        <is>
          <t>PLAT-031</t>
        </is>
      </c>
      <c r="B15" s="16" t="inlineStr">
        <is>
          <t>Approval Requests</t>
        </is>
      </c>
      <c r="C15" s="16" t="inlineStr">
        <is>
          <t>Recall own PENDING request (submitter-only); non-submitter recall denied</t>
        </is>
      </c>
      <c r="D15" s="17" t="inlineStr">
        <is>
          <t>Positive</t>
        </is>
      </c>
      <c r="E15" s="17" t="inlineStr">
        <is>
          <t>High</t>
        </is>
      </c>
      <c r="F15" s="16" t="inlineStr">
        <is>
          <t>Logged in as the SUBMITTER of a PENDING request.</t>
        </is>
      </c>
      <c r="G15" s="16" t="inlineStr">
        <is>
          <t>1. Open the request detail; click Recall (enabled while PENDING).
2. Status → RECALLED.
3. As a different non-admin user, attempt recall of the same request (after restoring state).</t>
        </is>
      </c>
      <c r="H15" s="16" t="inlineStr">
        <is>
          <t>Submitter's own PENDING request</t>
        </is>
      </c>
      <c r="I15" s="16" t="inlineStr">
        <is>
          <t>POST /api/v1/approvals/requests/uid/{uid}/recall returns status=RECALLED (terminal); 200. Non-submitter (without APPROVALS.ADMIN) recalling → denied by service (submitter-only). Recalling a terminal request: control hidden / service rejects.</t>
        </is>
      </c>
      <c r="J15" s="16" t="inlineStr">
        <is>
          <t>/admin/approvals/requests/uid/:uid</t>
        </is>
      </c>
      <c r="K15" s="16" t="inlineStr">
        <is>
          <t>APPROVALS.REQUEST.VIEW</t>
        </is>
      </c>
      <c r="L15" s="16" t="inlineStr"/>
      <c r="M15" s="17" t="inlineStr">
        <is>
          <t>Not Run</t>
        </is>
      </c>
      <c r="N15" s="17" t="inlineStr"/>
      <c r="O15" s="16" t="inlineStr"/>
      <c r="P15" s="16" t="inlineStr"/>
      <c r="Q15" s="16" t="inlineStr"/>
    </row>
    <row r="16">
      <c r="A16" s="18" t="inlineStr">
        <is>
          <t>PLAT-032</t>
        </is>
      </c>
      <c r="B16" s="19" t="inlineStr">
        <is>
          <t>Approval Requests</t>
        </is>
      </c>
      <c r="C16" s="19" t="inlineStr">
        <is>
          <t>Admin cancel a non-terminal PENDING request (APPROVALS.ADMIN only)</t>
        </is>
      </c>
      <c r="D16" s="8" t="inlineStr">
        <is>
          <t>Positive</t>
        </is>
      </c>
      <c r="E16" s="8" t="inlineStr">
        <is>
          <t>High</t>
        </is>
      </c>
      <c r="F16" s="19" t="inlineStr">
        <is>
          <t>ORG_ADMIN logged in (holds APPROVALS.ADMIN). A PENDING request exists.</t>
        </is>
      </c>
      <c r="G16" s="19" t="inlineStr">
        <is>
          <t>1. Open request detail; Cancel control is enabled for non-terminal requests.
2. Click Cancel → status → CANCELLED.</t>
        </is>
      </c>
      <c r="H16" s="19" t="inlineStr">
        <is>
          <t>PENDING request</t>
        </is>
      </c>
      <c r="I16" s="19" t="inlineStr">
        <is>
          <t>POST /api/v1/approvals/requests/uid/{uid}/cancel returns status=CANCELLED; 200. APPROVALS.DECIDE-only user: cancel control hidden / 403. Cancel on terminal request (APPROVED/REJECTED/RECALLED/CANCELLED) → control hidden / service rejects.</t>
        </is>
      </c>
      <c r="J16" s="19" t="inlineStr">
        <is>
          <t>/admin/approvals/requests/uid/:uid</t>
        </is>
      </c>
      <c r="K16" s="19" t="inlineStr">
        <is>
          <t>APPROVALS.ADMIN</t>
        </is>
      </c>
      <c r="L16" s="19" t="inlineStr"/>
      <c r="M16" s="8" t="inlineStr">
        <is>
          <t>Not Run</t>
        </is>
      </c>
      <c r="N16" s="8" t="inlineStr"/>
      <c r="O16" s="19" t="inlineStr"/>
      <c r="P16" s="19" t="inlineStr"/>
      <c r="Q16" s="19" t="inlineStr"/>
    </row>
    <row r="17">
      <c r="A17" s="15" t="inlineStr">
        <is>
          <t>PLAT-033</t>
        </is>
      </c>
      <c r="B17" s="16" t="inlineStr">
        <is>
          <t>Approval Requests</t>
        </is>
      </c>
      <c r="C17" s="16" t="inlineStr">
        <is>
          <t>Illegal lifecycle transitions on terminal requests are all blocked</t>
        </is>
      </c>
      <c r="D17" s="17" t="inlineStr">
        <is>
          <t>Negative</t>
        </is>
      </c>
      <c r="E17" s="17" t="inlineStr">
        <is>
          <t>High</t>
        </is>
      </c>
      <c r="F17" s="16" t="inlineStr">
        <is>
          <t>ORG_ADMIN logged in. One request in each terminal state: APPROVED, REJECTED, RECALLED, CANCELLED.</t>
        </is>
      </c>
      <c r="G17" s="16" t="inlineStr">
        <is>
          <t>For each terminal request: 1. Open detail — confirm Approve/Reject/Recall/Cancel controls are all hidden. 2. Attempt each action via direct API call.</t>
        </is>
      </c>
      <c r="H17" s="16" t="inlineStr">
        <is>
          <t>Requests in states: APPROVED, REJECTED, RECALLED, CANCELLED</t>
        </is>
      </c>
      <c r="I17" s="16" t="inlineStr">
        <is>
          <t>UI exposes no action on terminal requests. Any forced API call is rejected (BR-APR-07, terminal accepts no further transitions). Detail still renders read-only (C4 idle state).</t>
        </is>
      </c>
      <c r="J17" s="16" t="inlineStr">
        <is>
          <t>/admin/approvals/requests/uid/:uid</t>
        </is>
      </c>
      <c r="K17" s="16" t="inlineStr">
        <is>
          <t>APPROVALS.DECIDE</t>
        </is>
      </c>
      <c r="L17" s="16" t="inlineStr"/>
      <c r="M17" s="17" t="inlineStr">
        <is>
          <t>Not Run</t>
        </is>
      </c>
      <c r="N17" s="17" t="inlineStr"/>
      <c r="O17" s="16" t="inlineStr"/>
      <c r="P17" s="16" t="inlineStr"/>
      <c r="Q17" s="16" t="inlineStr"/>
    </row>
    <row r="18">
      <c r="A18" s="18" t="inlineStr">
        <is>
          <t>PLAT-034</t>
        </is>
      </c>
      <c r="B18" s="19" t="inlineStr">
        <is>
          <t>Approval Requests</t>
        </is>
      </c>
      <c r="C18" s="19" t="inlineStr">
        <is>
          <t>Auto-approved request (no policy matched) shows status=APPROVED + autoApproved flag</t>
        </is>
      </c>
      <c r="D18" s="8" t="inlineStr">
        <is>
          <t>Edge</t>
        </is>
      </c>
      <c r="E18" s="8" t="inlineStr">
        <is>
          <t>Medium</t>
        </is>
      </c>
      <c r="F18" s="19" t="inlineStr">
        <is>
          <t>ORG_ADMIN logged in. Perform a gated action whose amount/scope matches NO policy.</t>
        </is>
      </c>
      <c r="G18" s="19" t="inlineStr">
        <is>
          <t>1. Trigger the action; open the resulting request in /admin/approvals/requests.
2. Read the status and autoApproved field.</t>
        </is>
      </c>
      <c r="H18" s="19" t="inlineStr">
        <is>
          <t>Action with amount outside any configured policy band</t>
        </is>
      </c>
      <c r="I18" s="19" t="inlineStr">
        <is>
          <t>status=APPROVED, autoApproved=true. The consuming document proceeds. An action matching a policy creates a PENDING chain instead (not auto-approved).</t>
        </is>
      </c>
      <c r="J18" s="19" t="inlineStr">
        <is>
          <t>/admin/approvals/requests</t>
        </is>
      </c>
      <c r="K18" s="19" t="inlineStr">
        <is>
          <t>APPROVALS.REQUEST.VIEW</t>
        </is>
      </c>
      <c r="L18" s="19" t="inlineStr"/>
      <c r="M18" s="8" t="inlineStr">
        <is>
          <t>Not Run</t>
        </is>
      </c>
      <c r="N18" s="8" t="inlineStr"/>
      <c r="O18" s="19" t="inlineStr"/>
      <c r="P18" s="19" t="inlineStr"/>
      <c r="Q18" s="19" t="inlineStr"/>
    </row>
    <row r="19">
      <c r="A19" s="15" t="inlineStr">
        <is>
          <t>PLAT-035</t>
        </is>
      </c>
      <c r="B19" s="16" t="inlineStr">
        <is>
          <t>Approval Requests</t>
        </is>
      </c>
      <c r="C19" s="16" t="inlineStr">
        <is>
          <t>Branch-specificity: BRANCH policy beats COMPANY_WIDE when both match</t>
        </is>
      </c>
      <c r="D19" s="17" t="inlineStr">
        <is>
          <t>Edge</t>
        </is>
      </c>
      <c r="E19" s="17" t="inlineStr">
        <is>
          <t>Medium</t>
        </is>
      </c>
      <c r="F19" s="16" t="inlineStr">
        <is>
          <t>ORG_ADMIN logged in. One COMPANY_WIDE and one BRANCH policy for the same documentType/band; the BRANCH policy targets the non-default branch.</t>
        </is>
      </c>
      <c r="G19" s="16" t="inlineStr">
        <is>
          <t>1. Trigger a gated action in the BRANCH-policy's branch within the overlapping band.
2. Open the resulting request; read sourcePolicy.</t>
        </is>
      </c>
      <c r="H19" s="16" t="inlineStr">
        <is>
          <t>Overlapping policies; action in the branch-specific branch</t>
        </is>
      </c>
      <c r="I19" s="16" t="inlineStr">
        <is>
          <t>sourcePolicy on the request is the BRANCH-scoped policy (branch-specificity wins on a tie, ADR-0022). An action in a different branch (only COMPANY_WIDE matches) uses the COMPANY_WIDE policy.</t>
        </is>
      </c>
      <c r="J19" s="16" t="inlineStr">
        <is>
          <t>/admin/approvals/requests</t>
        </is>
      </c>
      <c r="K19" s="16" t="inlineStr">
        <is>
          <t>APPROVALS.REQUEST.VIEW</t>
        </is>
      </c>
      <c r="L19" s="16" t="inlineStr"/>
      <c r="M19" s="17" t="inlineStr">
        <is>
          <t>Not Run</t>
        </is>
      </c>
      <c r="N19" s="17" t="inlineStr"/>
      <c r="O19" s="16" t="inlineStr"/>
      <c r="P19" s="16" t="inlineStr"/>
      <c r="Q19" s="16" t="inlineStr"/>
    </row>
  </sheetData>
  <autoFilter ref="A2:Q19"/>
  <mergeCells count="1">
    <mergeCell ref="A1:Q1"/>
  </mergeCells>
  <dataValidations count="4">
    <dataValidation sqref="D3:D19" showDropDown="0" showInputMessage="0" showErrorMessage="0" allowBlank="1" type="list">
      <formula1>"Positive,Negative,Permission,Edge"</formula1>
    </dataValidation>
    <dataValidation sqref="E3:E19" showDropDown="0" showInputMessage="0" showErrorMessage="0" allowBlank="1" type="list">
      <formula1>"High,Medium,Low"</formula1>
    </dataValidation>
    <dataValidation sqref="M3:M19" showDropDown="0" showInputMessage="0" showErrorMessage="0" allowBlank="1" type="list">
      <formula1>"Not Run,Pass,Fail,Blocked,N/A"</formula1>
    </dataValidation>
    <dataValidation sqref="N3:N19" showDropDown="0" showInputMessage="0" showErrorMessage="0" allowBlank="1"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8"/>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Platform – Audit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PLAT-036</t>
        </is>
      </c>
      <c r="B3" s="16" t="inlineStr">
        <is>
          <t>Audit Trail</t>
        </is>
      </c>
      <c r="C3" s="16" t="inlineStr">
        <is>
          <t>Audit trail lists newest-first, read-only, paginated (AUDIT.VIEW)</t>
        </is>
      </c>
      <c r="D3" s="17" t="inlineStr">
        <is>
          <t>Positive</t>
        </is>
      </c>
      <c r="E3" s="17" t="inlineStr">
        <is>
          <t>High</t>
        </is>
      </c>
      <c r="F3" s="16" t="inlineStr">
        <is>
          <t>Logged in as ORG_ADMIN (holds AUDIT.VIEW). Audit rows exist (any login or master action generates them).</t>
        </is>
      </c>
      <c r="G3" s="16" t="inlineStr">
        <is>
          <t>1. Navigate to /admin/audit.
2. Read columns: actor username, action, target type, company/branch, time, IP.
3. Confirm there are NO create/edit/delete controls anywhere on the page.</t>
        </is>
      </c>
      <c r="H3" s="16" t="inlineStr">
        <is>
          <t>Any active company with audit history</t>
        </is>
      </c>
      <c r="I3" s="16" t="inlineStr">
        <is>
          <t>GET /api/v1/audit returns 200 + meta (sorted DESC by time). Rows show actorUsername (not internal id). No write affordance — append-only trail. Paginator present (default page size 50). NO-PERMISSION: nav hidden + forbidden. Page size capped at 200 server-side.</t>
        </is>
      </c>
      <c r="J3" s="16" t="inlineStr">
        <is>
          <t>/admin/audit</t>
        </is>
      </c>
      <c r="K3" s="16" t="inlineStr">
        <is>
          <t>AUDIT.VIEW</t>
        </is>
      </c>
      <c r="L3" s="16" t="inlineStr"/>
      <c r="M3" s="17" t="inlineStr">
        <is>
          <t>Not Run</t>
        </is>
      </c>
      <c r="N3" s="17" t="inlineStr"/>
      <c r="O3" s="16" t="inlineStr"/>
      <c r="P3" s="16" t="inlineStr"/>
      <c r="Q3" s="16" t="inlineStr"/>
    </row>
    <row r="4">
      <c r="A4" s="18" t="inlineStr">
        <is>
          <t>PLAT-037</t>
        </is>
      </c>
      <c r="B4" s="19" t="inlineStr">
        <is>
          <t>Audit Trail</t>
        </is>
      </c>
      <c r="C4" s="19" t="inlineStr">
        <is>
          <t>Filter audit by actor (chosen via user picker by name)</t>
        </is>
      </c>
      <c r="D4" s="8" t="inlineStr">
        <is>
          <t>Positive</t>
        </is>
      </c>
      <c r="E4" s="8" t="inlineStr">
        <is>
          <t>High</t>
        </is>
      </c>
      <c r="F4" s="19" t="inlineStr">
        <is>
          <t>Logged in as ORG_ADMIN. Actions by at least 2 distinct users exist.</t>
        </is>
      </c>
      <c r="G4" s="19" t="inlineStr">
        <is>
          <t>1. Open the actor filter; select a user BY display name or username from the picker.
2. Apply → only that actor's rows; request carries actorUid=&lt;picked&gt;.
3. Clear filters → full list.</t>
        </is>
      </c>
      <c r="H4" s="19" t="inlineStr">
        <is>
          <t>Actor: ORG_ADMIN user</t>
        </is>
      </c>
      <c r="I4" s="19" t="inlineStr">
        <is>
          <t>Filtered to chosen actor. The actor uid resolved server-side — never typed by the user. Page resets to 0. Unknown actor uid resolves to no match → empty state.</t>
        </is>
      </c>
      <c r="J4" s="19" t="inlineStr">
        <is>
          <t>/admin/audit</t>
        </is>
      </c>
      <c r="K4" s="19" t="inlineStr">
        <is>
          <t>AUDIT.VIEW</t>
        </is>
      </c>
      <c r="L4" s="19" t="inlineStr"/>
      <c r="M4" s="8" t="inlineStr">
        <is>
          <t>Not Run</t>
        </is>
      </c>
      <c r="N4" s="8" t="inlineStr"/>
      <c r="O4" s="19" t="inlineStr"/>
      <c r="P4" s="19" t="inlineStr"/>
      <c r="Q4" s="19" t="inlineStr"/>
    </row>
    <row r="5">
      <c r="A5" s="15" t="inlineStr">
        <is>
          <t>PLAT-038</t>
        </is>
      </c>
      <c r="B5" s="16" t="inlineStr">
        <is>
          <t>Audit Trail</t>
        </is>
      </c>
      <c r="C5" s="16" t="inlineStr">
        <is>
          <t>Filter audit by action code, targetType, and date range</t>
        </is>
      </c>
      <c r="D5" s="17" t="inlineStr">
        <is>
          <t>Positive</t>
        </is>
      </c>
      <c r="E5" s="17" t="inlineStr">
        <is>
          <t>High</t>
        </is>
      </c>
      <c r="F5" s="16" t="inlineStr">
        <is>
          <t>Logged in as ORG_ADMIN. Known audit actions exist.</t>
        </is>
      </c>
      <c r="G5" s="16" t="inlineStr">
        <is>
          <t>1. Set action filter to USER.CREATE.
2. Set from date and to date.
3. Apply → only matching rows.
4. Combine with targetType filter.</t>
        </is>
      </c>
      <c r="H5" s="16" t="inlineStr">
        <is>
          <t>action: USER.CREATE, from: 2026-06-01, to: 2026-06-30</t>
        </is>
      </c>
      <c r="I5" s="16" t="inlineStr">
        <is>
          <t>Combined AND filter applied. Dates sent as ISO-8601 instants (Z). Blank filters dropped (not sent as null binds). from &gt; to → empty result (not error). Page resets on each filter change.</t>
        </is>
      </c>
      <c r="J5" s="16" t="inlineStr">
        <is>
          <t>/admin/audit</t>
        </is>
      </c>
      <c r="K5" s="16" t="inlineStr">
        <is>
          <t>AUDIT.VIEW</t>
        </is>
      </c>
      <c r="L5" s="16" t="inlineStr"/>
      <c r="M5" s="17" t="inlineStr">
        <is>
          <t>Not Run</t>
        </is>
      </c>
      <c r="N5" s="17" t="inlineStr"/>
      <c r="O5" s="16" t="inlineStr"/>
      <c r="P5" s="16" t="inlineStr"/>
      <c r="Q5" s="16" t="inlineStr"/>
    </row>
    <row r="6">
      <c r="A6" s="18" t="inlineStr">
        <is>
          <t>PLAT-039</t>
        </is>
      </c>
      <c r="B6" s="19" t="inlineStr">
        <is>
          <t>Audit Trail</t>
        </is>
      </c>
      <c r="C6" s="19" t="inlineStr">
        <is>
          <t>Audit is confined to the caller's active company; rootadmin reads org-wide</t>
        </is>
      </c>
      <c r="D6" s="8" t="inlineStr">
        <is>
          <t>Positive</t>
        </is>
      </c>
      <c r="E6" s="8" t="inlineStr">
        <is>
          <t>High</t>
        </is>
      </c>
      <c r="F6" s="19" t="inlineStr">
        <is>
          <t>Two companies A and B with distinct audit rows. Non-root ORG_ADMIN of Company A. rootadmin.</t>
        </is>
      </c>
      <c r="G6" s="19" t="inlineStr">
        <is>
          <t>1. Log in as Company A's non-root ORG_ADMIN → open /admin/audit; read rows.
2. Log out; log in as rootadmin → open /admin/audit.</t>
        </is>
      </c>
      <c r="H6" s="19" t="inlineStr">
        <is>
          <t>Company A and B audit rows</t>
        </is>
      </c>
      <c r="I6" s="19" t="inlineStr">
        <is>
          <t>Non-root: only Company A's rows returned (AuditReadService scopes to active company). rootadmin: rows across all companies. Company A admin cannot see Company B rows even by setting a Company B targetUid filter.</t>
        </is>
      </c>
      <c r="J6" s="19" t="inlineStr">
        <is>
          <t>/admin/audit</t>
        </is>
      </c>
      <c r="K6" s="19" t="inlineStr">
        <is>
          <t>AUDIT.VIEW</t>
        </is>
      </c>
      <c r="L6" s="19" t="inlineStr"/>
      <c r="M6" s="8" t="inlineStr">
        <is>
          <t>Not Run</t>
        </is>
      </c>
      <c r="N6" s="8" t="inlineStr"/>
      <c r="O6" s="19" t="inlineStr"/>
      <c r="P6" s="19" t="inlineStr"/>
      <c r="Q6" s="19" t="inlineStr"/>
    </row>
    <row r="7">
      <c r="A7" s="15" t="inlineStr">
        <is>
          <t>PLAT-040</t>
        </is>
      </c>
      <c r="B7" s="16" t="inlineStr">
        <is>
          <t>Audit Trail</t>
        </is>
      </c>
      <c r="C7" s="16" t="inlineStr">
        <is>
          <t>Audit captures platform-domain actions (approvals create/decide/recall, notification type toggle)</t>
        </is>
      </c>
      <c r="D7" s="17" t="inlineStr">
        <is>
          <t>Positive</t>
        </is>
      </c>
      <c r="E7" s="17" t="inlineStr">
        <is>
          <t>Low</t>
        </is>
      </c>
      <c r="F7" s="16" t="inlineStr">
        <is>
          <t>ORG_ADMIN with AUDIT.VIEW. Perform: create a policy, decide a step, recall a request, toggle a notification type.</t>
        </is>
      </c>
      <c r="G7" s="16" t="inlineStr">
        <is>
          <t>1. Create an approval policy.
2. Decide (approve) an approval step.
3. Recall an approval request.
4. Toggle a notification type state.
5. Filter audit by each action code.</t>
        </is>
      </c>
      <c r="H7" s="16" t="inlineStr">
        <is>
          <t>Actions: APPROVAL.POLICY.CREATE, APPROVAL.STEP.DECIDE, APPROVAL.REQUEST.RECALL, NOTIFICATION.TYPE.TOGGLE</t>
        </is>
      </c>
      <c r="I7" s="16" t="inlineStr">
        <is>
          <t>Each action produces an audit row with the correct action code, actor username, target uid, and timestamp. Read-only views (opening a list) do NOT generate audit rows.</t>
        </is>
      </c>
      <c r="J7" s="16" t="inlineStr">
        <is>
          <t>/admin/audit</t>
        </is>
      </c>
      <c r="K7" s="16" t="inlineStr">
        <is>
          <t>AUDIT.VIEW</t>
        </is>
      </c>
      <c r="L7" s="16" t="inlineStr"/>
      <c r="M7" s="17" t="inlineStr">
        <is>
          <t>Not Run</t>
        </is>
      </c>
      <c r="N7" s="17" t="inlineStr"/>
      <c r="O7" s="16" t="inlineStr"/>
      <c r="P7" s="16" t="inlineStr"/>
      <c r="Q7" s="16" t="inlineStr"/>
    </row>
    <row r="8">
      <c r="A8" s="18" t="inlineStr">
        <is>
          <t>PLAT-041</t>
        </is>
      </c>
      <c r="B8" s="19" t="inlineStr">
        <is>
          <t>Audit Trail</t>
        </is>
      </c>
      <c r="C8" s="19" t="inlineStr">
        <is>
          <t>Audit pagination: page size cap enforced; FIRST/PREV/numbers/NEXT/LAST controls function</t>
        </is>
      </c>
      <c r="D8" s="8" t="inlineStr">
        <is>
          <t>Positive</t>
        </is>
      </c>
      <c r="E8" s="8" t="inlineStr">
        <is>
          <t>Medium</t>
        </is>
      </c>
      <c r="F8" s="19" t="inlineStr">
        <is>
          <t>Logged in as ORG_ADMIN. More than 50 audit rows exist (to span at least 2 pages at default size 50).</t>
        </is>
      </c>
      <c r="G8" s="19" t="inlineStr">
        <is>
          <t>1. Load page 0 (default size 50); click NEXT → page 1.
2. Click LAST; click FIRST; click a numbered page; click PREV.
3. Attempt to request size=300 via URL param.</t>
        </is>
      </c>
      <c r="H8" s="19" t="inlineStr">
        <is>
          <t>&gt;50 audit rows</t>
        </is>
      </c>
      <c r="I8" s="19" t="inlineStr">
        <is>
          <t>Correct page slices on each navigation. meta.hasNext drives NEXT button state. Server clamps size to 200 (MAX_PAGE_SIZE) when &gt;200 is requested; size &lt;1 clamps to 1. Paginator self-hides when only one page.</t>
        </is>
      </c>
      <c r="J8" s="19" t="inlineStr">
        <is>
          <t>/admin/audit</t>
        </is>
      </c>
      <c r="K8" s="19" t="inlineStr">
        <is>
          <t>AUDIT.VIEW</t>
        </is>
      </c>
      <c r="L8" s="19" t="inlineStr"/>
      <c r="M8" s="8" t="inlineStr">
        <is>
          <t>Not Run</t>
        </is>
      </c>
      <c r="N8" s="8" t="inlineStr"/>
      <c r="O8" s="19" t="inlineStr"/>
      <c r="P8" s="19" t="inlineStr"/>
      <c r="Q8" s="19" t="inlineStr"/>
    </row>
  </sheetData>
  <autoFilter ref="A2:Q8"/>
  <mergeCells count="1">
    <mergeCell ref="A1:Q1"/>
  </mergeCells>
  <dataValidations count="4">
    <dataValidation sqref="D3:D8" showDropDown="0" showInputMessage="0" showErrorMessage="0" allowBlank="1" type="list">
      <formula1>"Positive,Negative,Permission,Edge"</formula1>
    </dataValidation>
    <dataValidation sqref="E3:E8" showDropDown="0" showInputMessage="0" showErrorMessage="0" allowBlank="1" type="list">
      <formula1>"High,Medium,Low"</formula1>
    </dataValidation>
    <dataValidation sqref="M3:M8" showDropDown="0" showInputMessage="0" showErrorMessage="0" allowBlank="1" type="list">
      <formula1>"Not Run,Pass,Fail,Blocked,N/A"</formula1>
    </dataValidation>
    <dataValidation sqref="N3:N8" showDropDown="0" showInputMessage="0" showErrorMessage="0" allowBlank="1" type="list">
      <formula1>"-,Critical,High,Medium,Low"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3"/>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Conventions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CONV-001</t>
        </is>
      </c>
      <c r="B3" s="16" t="inlineStr">
        <is>
          <t>C1 – uid never shown</t>
        </is>
      </c>
      <c r="C3" s="16" t="inlineStr">
        <is>
          <t>No raw uid is visible on a master list (customers)</t>
        </is>
      </c>
      <c r="D3" s="17" t="inlineStr">
        <is>
          <t>Positive</t>
        </is>
      </c>
      <c r="E3" s="17" t="inlineStr">
        <is>
          <t>High</t>
        </is>
      </c>
      <c r="F3" s="16" t="inlineStr">
        <is>
          <t>Logged in as ORG_ADMIN. At least 3 customers exist.</t>
        </is>
      </c>
      <c r="G3" s="16" t="inlineStr">
        <is>
          <t>1. Navigate to /admin/customers.
2. Read all visible cell text and all visible labels and action link texts.</t>
        </is>
      </c>
      <c r="H3" s="16" t="inlineStr">
        <is>
          <t>Customers: Acme Distributors Ltd (BUSINESS), Jane Walk-in (INDIVIDUAL)</t>
        </is>
      </c>
      <c r="I3" s="16" t="inlineStr">
        <is>
          <t>Each row shows display name, type, kind, status badge. No uid string (26-char ULID) is visible in any table cell, label, or action link text. Action links may carry uid in the href path (allowed) but the visible link text must be human ('View Acme Distributors Ltd'), not the uid.</t>
        </is>
      </c>
      <c r="J3" s="16" t="inlineStr">
        <is>
          <t>/admin/customers</t>
        </is>
      </c>
      <c r="K3" s="16" t="inlineStr">
        <is>
          <t>CUSTOMER.VIEW</t>
        </is>
      </c>
      <c r="L3" s="16" t="inlineStr"/>
      <c r="M3" s="17" t="inlineStr">
        <is>
          <t>Not Run</t>
        </is>
      </c>
      <c r="N3" s="17" t="inlineStr"/>
      <c r="O3" s="16" t="inlineStr"/>
      <c r="P3" s="16" t="inlineStr"/>
      <c r="Q3" s="16" t="inlineStr"/>
    </row>
    <row r="4">
      <c r="A4" s="18" t="inlineStr">
        <is>
          <t>CONV-002</t>
        </is>
      </c>
      <c r="B4" s="19" t="inlineStr">
        <is>
          <t>C1 – uid never shown</t>
        </is>
      </c>
      <c r="C4" s="19" t="inlineStr">
        <is>
          <t>uid appears ONLY in the URL path on a detail screen, never in on-screen text</t>
        </is>
      </c>
      <c r="D4" s="8" t="inlineStr">
        <is>
          <t>Positive</t>
        </is>
      </c>
      <c r="E4" s="8" t="inlineStr">
        <is>
          <t>High</t>
        </is>
      </c>
      <c r="F4" s="19" t="inlineStr">
        <is>
          <t>Logged in as ORG_ADMIN. A confirmed sales order with at least 2 lines exists.</t>
        </is>
      </c>
      <c r="G4" s="19" t="inlineStr">
        <is>
          <t>1. From the SO list, open a row → /admin/sales-orders/uid/&lt;uid&gt;.
2. Capture the page URL.
3. Read all visible detail text: header, customer, lines, totals.</t>
        </is>
      </c>
      <c r="H4" s="19" t="inlineStr">
        <is>
          <t>SO number: SO-2026-0007, customer: Acme Distributors Ltd</t>
        </is>
      </c>
      <c r="I4" s="19" t="inlineStr">
        <is>
          <t>URL path contains /uid/&lt;uid&gt;. Screen body shows the SO number and customer name — no uid text. Numeric DB id appears nowhere (not in URL, not on screen). Customer is linked as name to /admin/customers/uid/&lt;customerUid&gt; — uid only in the href.</t>
        </is>
      </c>
      <c r="J4" s="19" t="inlineStr">
        <is>
          <t>/admin/sales-orders/uid/:uid</t>
        </is>
      </c>
      <c r="K4" s="19" t="inlineStr">
        <is>
          <t>SALES.ORDER.VIEW</t>
        </is>
      </c>
      <c r="L4" s="19" t="inlineStr"/>
      <c r="M4" s="8" t="inlineStr">
        <is>
          <t>Not Run</t>
        </is>
      </c>
      <c r="N4" s="8" t="inlineStr"/>
      <c r="O4" s="19" t="inlineStr"/>
      <c r="P4" s="19" t="inlineStr"/>
      <c r="Q4" s="19" t="inlineStr"/>
    </row>
    <row r="5">
      <c r="A5" s="15" t="inlineStr">
        <is>
          <t>CONV-003</t>
        </is>
      </c>
      <c r="B5" s="16" t="inlineStr">
        <is>
          <t>C1 – uid never shown</t>
        </is>
      </c>
      <c r="C5" s="16" t="inlineStr">
        <is>
          <t>Multi-FK form: every resource reference is an app-uid-picker chosen by name (POS sale form)</t>
        </is>
      </c>
      <c r="D5" s="17" t="inlineStr">
        <is>
          <t>Positive</t>
        </is>
      </c>
      <c r="E5" s="17" t="inlineStr">
        <is>
          <t>High</t>
        </is>
      </c>
      <c r="F5" s="16" t="inlineStr">
        <is>
          <t>Logged in as ORG_ADMIN (holds POS.SALE.CREATE). One OPEN POS session; at least 2 GOODS products; 1 customer; 1 agent.</t>
        </is>
      </c>
      <c r="G5" s="16" t="inlineStr">
        <is>
          <t>1. Navigate to /admin/pos/sell.
2. For each of: Session, Customer, Agent — assert it is a &lt;select&gt; picker and choose by name.
3. Click 'Add Line'; for the line's Product and Unit, choose by name.</t>
        </is>
      </c>
      <c r="H5" s="16" t="inlineStr">
        <is>
          <t>session: Till-1 / 2026-06-14, customer: Jane Walk-in, agent: Internal Rep, product: Widget A, unit: EA</t>
        </is>
      </c>
      <c r="I5" s="16" t="inlineStr">
        <is>
          <t>All five references (session, customer, agent, product, unit) are chosen from pickers by human label. No free-text uid input exists for any of them. Submit with no session selected → client formError 'Session is required.', no API call.</t>
        </is>
      </c>
      <c r="J5" s="16" t="inlineStr">
        <is>
          <t>/admin/pos/sell</t>
        </is>
      </c>
      <c r="K5" s="16" t="inlineStr">
        <is>
          <t>POS.SALE.CREATE</t>
        </is>
      </c>
      <c r="L5" s="16" t="inlineStr"/>
      <c r="M5" s="17" t="inlineStr">
        <is>
          <t>Not Run</t>
        </is>
      </c>
      <c r="N5" s="17" t="inlineStr"/>
      <c r="O5" s="16" t="inlineStr"/>
      <c r="P5" s="16" t="inlineStr"/>
      <c r="Q5" s="16" t="inlineStr"/>
    </row>
    <row r="6">
      <c r="A6" s="18" t="inlineStr">
        <is>
          <t>CONV-004</t>
        </is>
      </c>
      <c r="B6" s="19" t="inlineStr">
        <is>
          <t>C1 – uid never shown</t>
        </is>
      </c>
      <c r="C6" s="19" t="inlineStr">
        <is>
          <t>Large option set in a picker shows the name-filter input box (never a uid box)</t>
        </is>
      </c>
      <c r="D6" s="8" t="inlineStr">
        <is>
          <t>Positive</t>
        </is>
      </c>
      <c r="E6" s="8" t="inlineStr">
        <is>
          <t>Medium</t>
        </is>
      </c>
      <c r="F6" s="19" t="inlineStr">
        <is>
          <t>Logged in as ORG_ADMIN. More than 12 GOODS products exist.</t>
        </is>
      </c>
      <c r="G6" s="19" t="inlineStr">
        <is>
          <t>1. Open /admin/pos/sell; click Add Line.
2. Inspect the product picker region.
3. Type a partial name in the filter input.</t>
        </is>
      </c>
      <c r="H6" s="19" t="inlineStr">
        <is>
          <t>13+ products; filter text: Wid</t>
        </is>
      </c>
      <c r="I6" s="19" t="inlineStr">
        <is>
          <t>A filter input with aria-label ending '— filter by name' and placeholder 'Type to filter by name…' appears above the &lt;select&gt;. Typing narrows the option list by label. The bound value remains a uid stored under the hood — the user types only a name fragment, never a uid. With &lt;=12 products the filter box is absent.</t>
        </is>
      </c>
      <c r="J6" s="19" t="inlineStr">
        <is>
          <t>/admin/pos/sell</t>
        </is>
      </c>
      <c r="K6" s="19" t="inlineStr">
        <is>
          <t>POS.SALE.CREATE</t>
        </is>
      </c>
      <c r="L6" s="19" t="inlineStr"/>
      <c r="M6" s="8" t="inlineStr">
        <is>
          <t>Not Run</t>
        </is>
      </c>
      <c r="N6" s="8" t="inlineStr"/>
      <c r="O6" s="19" t="inlineStr"/>
      <c r="P6" s="19" t="inlineStr"/>
      <c r="Q6" s="19" t="inlineStr"/>
    </row>
    <row r="7">
      <c r="A7" s="15" t="inlineStr">
        <is>
          <t>CONV-005</t>
        </is>
      </c>
      <c r="B7" s="16" t="inlineStr">
        <is>
          <t>C2 – ApiResponse envelope</t>
        </is>
      </c>
      <c r="C7" s="16" t="inlineStr">
        <is>
          <t>Non-paginated GET is auto-unwrapped (component sees raw T, not the envelope)</t>
        </is>
      </c>
      <c r="D7" s="17" t="inlineStr">
        <is>
          <t>Positive</t>
        </is>
      </c>
      <c r="E7" s="17" t="inlineStr">
        <is>
          <t>High</t>
        </is>
      </c>
      <c r="F7" s="16" t="inlineStr">
        <is>
          <t>Logged in as ORG_ADMIN. One customer exists.</t>
        </is>
      </c>
      <c r="G7" s="16" t="inlineStr">
        <is>
          <t>1. Open the customer detail; capture the raw HTTP response body for GET /api/v1/customers/uid/{uid}.
2. Confirm the wire body is { data: {...}, errors: [] }.
3. Confirm the screen rendered the customer fields.</t>
        </is>
      </c>
      <c r="H7" s="16" t="inlineStr">
        <is>
          <t>Customer: Acme Distributors Ltd</t>
        </is>
      </c>
      <c r="I7" s="16" t="inlineStr">
        <is>
          <t>Wire body = envelope with data + errors[]. Component receives the unwrapped data object — no 'data.' prefix leaks into the UI. The apiResponseInterceptor strips the envelope for non-paginated responses.</t>
        </is>
      </c>
      <c r="J7" s="16" t="inlineStr">
        <is>
          <t>/admin/customers/uid/:uid</t>
        </is>
      </c>
      <c r="K7" s="16" t="inlineStr">
        <is>
          <t>CUSTOMER.VIEW</t>
        </is>
      </c>
      <c r="L7" s="16" t="inlineStr"/>
      <c r="M7" s="17" t="inlineStr">
        <is>
          <t>Not Run</t>
        </is>
      </c>
      <c r="N7" s="17" t="inlineStr"/>
      <c r="O7" s="16" t="inlineStr"/>
      <c r="P7" s="16" t="inlineStr"/>
      <c r="Q7" s="16" t="inlineStr"/>
    </row>
    <row r="8">
      <c r="A8" s="18" t="inlineStr">
        <is>
          <t>CONV-006</t>
        </is>
      </c>
      <c r="B8" s="19" t="inlineStr">
        <is>
          <t>C2 – ApiResponse envelope</t>
        </is>
      </c>
      <c r="C8" s="19" t="inlineStr">
        <is>
          <t>Paginated GET preserves meta {page, size, totalElements, totalPages, hasNext}</t>
        </is>
      </c>
      <c r="D8" s="8" t="inlineStr">
        <is>
          <t>Positive</t>
        </is>
      </c>
      <c r="E8" s="8" t="inlineStr">
        <is>
          <t>High</t>
        </is>
      </c>
      <c r="F8" s="19" t="inlineStr">
        <is>
          <t>Logged in as ORG_ADMIN. More than 20 customers (default page size).</t>
        </is>
      </c>
      <c r="G8" s="19" t="inlineStr">
        <is>
          <t>1. Open /admin/customers; capture the raw HTTP response body.
2. Confirm the body has a populated meta field.
3. Confirm the paginator renders using totalPages/hasNext.</t>
        </is>
      </c>
      <c r="H8" s="19" t="inlineStr">
        <is>
          <t>25 customers, size 20 → page 0, totalPages 2, hasNext: true</t>
        </is>
      </c>
      <c r="I8" s="19" t="inlineStr">
        <is>
          <t>List request opts out of unwrap (SKIP_UNWRAP); component receives {rows, meta}. meta.totalPages=2, meta.hasNext=true. Paginator shows controls. Empty result: meta.totalElements=0, totalPages=0; paginator self-hides.</t>
        </is>
      </c>
      <c r="J8" s="19" t="inlineStr">
        <is>
          <t>/admin/customers</t>
        </is>
      </c>
      <c r="K8" s="19" t="inlineStr">
        <is>
          <t>CUSTOMER.VIEW</t>
        </is>
      </c>
      <c r="L8" s="19" t="inlineStr"/>
      <c r="M8" s="8" t="inlineStr">
        <is>
          <t>Not Run</t>
        </is>
      </c>
      <c r="N8" s="8" t="inlineStr"/>
      <c r="O8" s="19" t="inlineStr"/>
      <c r="P8" s="19" t="inlineStr"/>
      <c r="Q8" s="19" t="inlineStr"/>
    </row>
    <row r="9">
      <c r="A9" s="15" t="inlineStr">
        <is>
          <t>CONV-007</t>
        </is>
      </c>
      <c r="B9" s="16" t="inlineStr">
        <is>
          <t>C2 – ApiResponse envelope</t>
        </is>
      </c>
      <c r="C9" s="16" t="inlineStr">
        <is>
          <t>Error envelope: errors[0] surfaced as inline form error (role=alert)</t>
        </is>
      </c>
      <c r="D9" s="17" t="inlineStr">
        <is>
          <t>Negative</t>
        </is>
      </c>
      <c r="E9" s="17" t="inlineStr">
        <is>
          <t>High</t>
        </is>
      </c>
      <c r="F9" s="16" t="inlineStr">
        <is>
          <t>Logged in as ORG_ADMIN.</t>
        </is>
      </c>
      <c r="G9" s="16" t="inlineStr">
        <is>
          <t>1. Open the customer create form; choose partyType BUSINESS; submit without a TIN (triggers a server rule).
2. Capture the response and the on-screen message.</t>
        </is>
      </c>
      <c r="H9" s="16" t="inlineStr">
        <is>
          <t>displayName: Bad Biz, partyType: BUSINESS, no TIN</t>
        </is>
      </c>
      <c r="I9" s="16" t="inlineStr">
        <is>
          <t>Response: envelope {data:null, errors:['...']}. Component's messageFrom(err) surfaces errors[0] in formError rendered as role='alert'. A 5xx with no errors[] → authErrorInterceptor pops the centered alert. A 403 does NOT pop the modal.</t>
        </is>
      </c>
      <c r="J9" s="16" t="inlineStr">
        <is>
          <t>/admin/customers</t>
        </is>
      </c>
      <c r="K9" s="16" t="inlineStr">
        <is>
          <t>CUSTOMER.MANAGE</t>
        </is>
      </c>
      <c r="L9" s="16" t="inlineStr"/>
      <c r="M9" s="17" t="inlineStr">
        <is>
          <t>Not Run</t>
        </is>
      </c>
      <c r="N9" s="17" t="inlineStr"/>
      <c r="O9" s="16" t="inlineStr"/>
      <c r="P9" s="16" t="inlineStr"/>
      <c r="Q9" s="16" t="inlineStr"/>
    </row>
    <row r="10">
      <c r="A10" s="18" t="inlineStr">
        <is>
          <t>CONV-008</t>
        </is>
      </c>
      <c r="B10" s="19" t="inlineStr">
        <is>
          <t>C3 – RBAC gating</t>
        </is>
      </c>
      <c r="C10" s="19" t="inlineStr">
        <is>
          <t>Nav hides items the user lacks permission for (by code, not role name)</t>
        </is>
      </c>
      <c r="D10" s="8" t="inlineStr">
        <is>
          <t>Positive</t>
        </is>
      </c>
      <c r="E10" s="8" t="inlineStr">
        <is>
          <t>High</t>
        </is>
      </c>
      <c r="F10" s="19" t="inlineStr">
        <is>
          <t>A CUSTOM-role user holding ONLY CUSTOMER.VIEW.</t>
        </is>
      </c>
      <c r="G10" s="19" t="inlineStr">
        <is>
          <t>1. Log in as the custom-role user.
2. Read the rendered nav items.</t>
        </is>
      </c>
      <c r="H10" s="19" t="inlineStr">
        <is>
          <t>Custom role: CUSTOMER.VIEW only</t>
        </is>
      </c>
      <c r="I10" s="19" t="inlineStr">
        <is>
          <t>Only the Customers nav item is visible. POS / GL journals / sales-orders / Users / Roles nav items are absent. rootadmin sees ALL items (isRoot bypass) — positive smoke only.</t>
        </is>
      </c>
      <c r="J10" s="19" t="inlineStr">
        <is>
          <t>/admin</t>
        </is>
      </c>
      <c r="K10" s="19" t="inlineStr">
        <is>
          <t>CUSTOMER.VIEW</t>
        </is>
      </c>
      <c r="L10" s="19" t="inlineStr"/>
      <c r="M10" s="8" t="inlineStr">
        <is>
          <t>Not Run</t>
        </is>
      </c>
      <c r="N10" s="8" t="inlineStr"/>
      <c r="O10" s="19" t="inlineStr"/>
      <c r="P10" s="19" t="inlineStr"/>
      <c r="Q10" s="19" t="inlineStr"/>
    </row>
    <row r="11">
      <c r="A11" s="15" t="inlineStr">
        <is>
          <t>CONV-009</t>
        </is>
      </c>
      <c r="B11" s="16" t="inlineStr">
        <is>
          <t>C3 – RBAC gating</t>
        </is>
      </c>
      <c r="C11" s="16" t="inlineStr">
        <is>
          <t>Route guard redirects to /admin/home when permission absent — not a 403 page</t>
        </is>
      </c>
      <c r="D11" s="17" t="inlineStr">
        <is>
          <t>Negative</t>
        </is>
      </c>
      <c r="E11" s="17" t="inlineStr">
        <is>
          <t>High</t>
        </is>
      </c>
      <c r="F11" s="16" t="inlineStr">
        <is>
          <t>A user lacking POS.SALE.CREATE.</t>
        </is>
      </c>
      <c r="G11" s="16" t="inlineStr">
        <is>
          <t>1. While logged in, navigate directly to /admin/pos/sell.</t>
        </is>
      </c>
      <c r="H11" s="16" t="inlineStr">
        <is>
          <t>User without POS.SALE.CREATE</t>
        </is>
      </c>
      <c r="I11" s="16" t="inlineStr">
        <is>
          <t>The guard returns createUrlTree(['/admin/home']) — the user lands on /admin/home, NOT on a 403 screen. No error modal appears. A user WITH the code reaches /admin/pos/sell normally.</t>
        </is>
      </c>
      <c r="J11" s="16" t="inlineStr">
        <is>
          <t>/admin/pos/sell</t>
        </is>
      </c>
      <c r="K11" s="16" t="inlineStr">
        <is>
          <t>POS.SALE.CREATE</t>
        </is>
      </c>
      <c r="L11" s="16" t="inlineStr"/>
      <c r="M11" s="17" t="inlineStr">
        <is>
          <t>Not Run</t>
        </is>
      </c>
      <c r="N11" s="17" t="inlineStr"/>
      <c r="O11" s="16" t="inlineStr"/>
      <c r="P11" s="16" t="inlineStr"/>
      <c r="Q11" s="16" t="inlineStr"/>
    </row>
    <row r="12">
      <c r="A12" s="18" t="inlineStr">
        <is>
          <t>CONV-010</t>
        </is>
      </c>
      <c r="B12" s="19" t="inlineStr">
        <is>
          <t>C3 – RBAC gating</t>
        </is>
      </c>
      <c r="C12" s="19" t="inlineStr">
        <is>
          <t>API returns 403 for a missing code; UI shows a calm state — no red modal</t>
        </is>
      </c>
      <c r="D12" s="8" t="inlineStr">
        <is>
          <t>Negative</t>
        </is>
      </c>
      <c r="E12" s="8" t="inlineStr">
        <is>
          <t>High</t>
        </is>
      </c>
      <c r="F12" s="19" t="inlineStr">
        <is>
          <t>A user with CUSTOMER.VIEW but NOT CUSTOMER.MANAGE.</t>
        </is>
      </c>
      <c r="G12" s="19" t="inlineStr">
        <is>
          <t>1. Open /admin/customers (allowed by VIEW). Confirm the Create button/form is not rendered.
2. Force the POST /api/v1/customers (e.g. replay).</t>
        </is>
      </c>
      <c r="H12" s="19" t="inlineStr">
        <is>
          <t>User: CUSTOMER.VIEW only</t>
        </is>
      </c>
      <c r="I12" s="19" t="inlineStr">
        <is>
          <t>Create button not rendered (canManage computed false). Forced POST returns 403. authErrorInterceptor does NOT show the global red alert for 403 (line 101 of interceptor). Rejection propagates to the component handler (calm state). A 5xx on the same screen DOES pop the centered alert.</t>
        </is>
      </c>
      <c r="J12" s="19" t="inlineStr">
        <is>
          <t>/admin/customers</t>
        </is>
      </c>
      <c r="K12" s="19" t="inlineStr">
        <is>
          <t>CUSTOMER.VIEW</t>
        </is>
      </c>
      <c r="L12" s="19" t="inlineStr"/>
      <c r="M12" s="8" t="inlineStr">
        <is>
          <t>Not Run</t>
        </is>
      </c>
      <c r="N12" s="8" t="inlineStr"/>
      <c r="O12" s="19" t="inlineStr"/>
      <c r="P12" s="19" t="inlineStr"/>
      <c r="Q12" s="19" t="inlineStr"/>
    </row>
    <row r="13">
      <c r="A13" s="15" t="inlineStr">
        <is>
          <t>CONV-011</t>
        </is>
      </c>
      <c r="B13" s="16" t="inlineStr">
        <is>
          <t>C4 – Four screen states</t>
        </is>
      </c>
      <c r="C13" s="16" t="inlineStr">
        <is>
          <t>Loading state on a list shows spinner with aria-live before data arrives</t>
        </is>
      </c>
      <c r="D13" s="17" t="inlineStr">
        <is>
          <t>Positive</t>
        </is>
      </c>
      <c r="E13" s="17" t="inlineStr">
        <is>
          <t>High</t>
        </is>
      </c>
      <c r="F13" s="16" t="inlineStr">
        <is>
          <t>Logged in as ORG_ADMIN.</t>
        </is>
      </c>
      <c r="G13" s="16" t="inlineStr">
        <is>
          <t>1. Intercept GET /api/v1/customers to add 1s latency.
2. Navigate to /admin/customers; assert the loading branch renders before data.</t>
        </is>
      </c>
      <c r="H13" s="16" t="inlineStr">
        <is>
          <t>1s delayed response</t>
        </is>
      </c>
      <c r="I13" s="16" t="inlineStr">
        <is>
          <t>state='loading': spinner rendered with aria-live='polite'. The table is not yet shown. Distinct from the empty and error states.</t>
        </is>
      </c>
      <c r="J13" s="16" t="inlineStr">
        <is>
          <t>/admin/customers</t>
        </is>
      </c>
      <c r="K13" s="16" t="inlineStr">
        <is>
          <t>CUSTOMER.VIEW</t>
        </is>
      </c>
      <c r="L13" s="16" t="inlineStr"/>
      <c r="M13" s="17" t="inlineStr">
        <is>
          <t>Not Run</t>
        </is>
      </c>
      <c r="N13" s="17" t="inlineStr"/>
      <c r="O13" s="16" t="inlineStr"/>
      <c r="P13" s="16" t="inlineStr"/>
      <c r="Q13" s="16" t="inlineStr"/>
    </row>
    <row r="14">
      <c r="A14" s="18" t="inlineStr">
        <is>
          <t>CONV-012</t>
        </is>
      </c>
      <c r="B14" s="19" t="inlineStr">
        <is>
          <t>C4 – Four screen states</t>
        </is>
      </c>
      <c r="C14" s="19" t="inlineStr">
        <is>
          <t>Empty state (idle + 0 rows) is distinct from loading</t>
        </is>
      </c>
      <c r="D14" s="8" t="inlineStr">
        <is>
          <t>Positive</t>
        </is>
      </c>
      <c r="E14" s="8" t="inlineStr">
        <is>
          <t>High</t>
        </is>
      </c>
      <c r="F14" s="19" t="inlineStr">
        <is>
          <t>Logged in as ORG_ADMIN. A company with no customers (or a search with no matches).</t>
        </is>
      </c>
      <c r="G14" s="19" t="inlineStr">
        <is>
          <t>1. Navigate to /admin/customers with a non-matching search term 'zzzz-no-match'.</t>
        </is>
      </c>
      <c r="H14" s="19" t="inlineStr">
        <is>
          <t>Search query: zzzz-no-match</t>
        </is>
      </c>
      <c r="I14" s="19" t="inlineStr">
        <is>
          <t>isEmpty() true → an explicit 'no customers' empty message, NOT the spinner and NOT an error. Paginator absent (totalPages &lt;= 1). Distinct from the loading state.</t>
        </is>
      </c>
      <c r="J14" s="19" t="inlineStr">
        <is>
          <t>/admin/customers</t>
        </is>
      </c>
      <c r="K14" s="19" t="inlineStr">
        <is>
          <t>CUSTOMER.VIEW</t>
        </is>
      </c>
      <c r="L14" s="19" t="inlineStr"/>
      <c r="M14" s="8" t="inlineStr">
        <is>
          <t>Not Run</t>
        </is>
      </c>
      <c r="N14" s="8" t="inlineStr"/>
      <c r="O14" s="19" t="inlineStr"/>
      <c r="P14" s="19" t="inlineStr"/>
      <c r="Q14" s="19" t="inlineStr"/>
    </row>
    <row r="15">
      <c r="A15" s="15" t="inlineStr">
        <is>
          <t>CONV-013</t>
        </is>
      </c>
      <c r="B15" s="16" t="inlineStr">
        <is>
          <t>C4 – Four screen states</t>
        </is>
      </c>
      <c r="C15" s="16" t="inlineStr">
        <is>
          <t>Error state on server failure shows role=alert; distinct from forbidden</t>
        </is>
      </c>
      <c r="D15" s="17" t="inlineStr">
        <is>
          <t>Negative</t>
        </is>
      </c>
      <c r="E15" s="17" t="inlineStr">
        <is>
          <t>High</t>
        </is>
      </c>
      <c r="F15" s="16" t="inlineStr">
        <is>
          <t>Logged in as ORG_ADMIN.</t>
        </is>
      </c>
      <c r="G15" s="16" t="inlineStr">
        <is>
          <t>1. Intercept GET /api/v1/customers to return 500.
2. Navigate to /admin/customers.</t>
        </is>
      </c>
      <c r="H15" s="16" t="inlineStr">
        <is>
          <t>Simulated 500</t>
        </is>
      </c>
      <c r="I15" s="16" t="inlineStr">
        <is>
          <t>state='error': error message rendered with role='alert'. The centered global alert also fires (5xx path). Distinct from the forbidden state. Paginator absent.</t>
        </is>
      </c>
      <c r="J15" s="16" t="inlineStr">
        <is>
          <t>/admin/customers</t>
        </is>
      </c>
      <c r="K15" s="16" t="inlineStr">
        <is>
          <t>CUSTOMER.VIEW</t>
        </is>
      </c>
      <c r="L15" s="16" t="inlineStr"/>
      <c r="M15" s="17" t="inlineStr">
        <is>
          <t>Not Run</t>
        </is>
      </c>
      <c r="N15" s="17" t="inlineStr"/>
      <c r="O15" s="16" t="inlineStr"/>
      <c r="P15" s="16" t="inlineStr"/>
      <c r="Q15" s="16" t="inlineStr"/>
    </row>
    <row r="16">
      <c r="A16" s="18" t="inlineStr">
        <is>
          <t>CONV-014</t>
        </is>
      </c>
      <c r="B16" s="19" t="inlineStr">
        <is>
          <t>C4 – Four screen states</t>
        </is>
      </c>
      <c r="C16" s="19" t="inlineStr">
        <is>
          <t>Forbidden state on 403 from a list load shows calm message — no red modal</t>
        </is>
      </c>
      <c r="D16" s="8" t="inlineStr">
        <is>
          <t>Negative</t>
        </is>
      </c>
      <c r="E16" s="8" t="inlineStr">
        <is>
          <t>High</t>
        </is>
      </c>
      <c r="F16" s="19" t="inlineStr">
        <is>
          <t>A user who can navigate to the screen (holds VIEW) but the data load returns 403.</t>
        </is>
      </c>
      <c r="G16" s="19" t="inlineStr">
        <is>
          <t>1. Intercept the data load to return 403.
2. Navigate to /admin/customers.</t>
        </is>
      </c>
      <c r="H16" s="19" t="inlineStr">
        <is>
          <t>Simulated 403 on list load</t>
        </is>
      </c>
      <c r="I16" s="19" t="inlineStr">
        <is>
          <t>state='forbidden': a calm 'no permission' message. The global red alert does NOT fire (interceptor 403 special-case). Distinct from the error state. This is the in-page forbidden state reachable when the user could navigate but the load denies.</t>
        </is>
      </c>
      <c r="J16" s="19" t="inlineStr">
        <is>
          <t>/admin/customers</t>
        </is>
      </c>
      <c r="K16" s="19" t="inlineStr">
        <is>
          <t>CUSTOMER.VIEW</t>
        </is>
      </c>
      <c r="L16" s="19" t="inlineStr"/>
      <c r="M16" s="8" t="inlineStr">
        <is>
          <t>Not Run</t>
        </is>
      </c>
      <c r="N16" s="8" t="inlineStr"/>
      <c r="O16" s="19" t="inlineStr"/>
      <c r="P16" s="19" t="inlineStr"/>
      <c r="Q16" s="19" t="inlineStr"/>
    </row>
    <row r="17">
      <c r="A17" s="15" t="inlineStr">
        <is>
          <t>CONV-015</t>
        </is>
      </c>
      <c r="B17" s="16" t="inlineStr">
        <is>
          <t>C5 – Pagination</t>
        </is>
      </c>
      <c r="C17" s="16" t="inlineStr">
        <is>
          <t>Full paginator control set renders on a multi-page list with accessibility</t>
        </is>
      </c>
      <c r="D17" s="17" t="inlineStr">
        <is>
          <t>Positive</t>
        </is>
      </c>
      <c r="E17" s="17" t="inlineStr">
        <is>
          <t>High</t>
        </is>
      </c>
      <c r="F17" s="16" t="inlineStr">
        <is>
          <t>Logged in as ORG_ADMIN. At least 6 pages of customers (e.g. 120 customers, size 20).</t>
        </is>
      </c>
      <c r="G17" s="16" t="inlineStr">
        <is>
          <t>1. Open /admin/customers (page 0).
2. Inspect the pagination nav.</t>
        </is>
      </c>
      <c r="H17" s="16" t="inlineStr">
        <is>
          <t>120 customers, page size 20 → 6 pages</t>
        </is>
      </c>
      <c r="I17" s="16" t="inlineStr">
        <is>
          <t>A &lt;nav aria-label='Customers pagination'&gt; containing: First (aria-label='First page', disabled on page 0), Previous (disabled on page 0), numbered page buttons (windowed ±2 with '...' gap), Next, Last (aria-label='Last page'). Current page has aria-current='page' and is disabled. A visually-hidden aria-live status reads 'Page 1 of 6, 120 items total'. On the last page: Next + Last are disabled; First + Previous are enabled.</t>
        </is>
      </c>
      <c r="J17" s="16" t="inlineStr">
        <is>
          <t>/admin/customers</t>
        </is>
      </c>
      <c r="K17" s="16" t="inlineStr">
        <is>
          <t>CUSTOMER.VIEW</t>
        </is>
      </c>
      <c r="L17" s="16" t="inlineStr"/>
      <c r="M17" s="17" t="inlineStr">
        <is>
          <t>Not Run</t>
        </is>
      </c>
      <c r="N17" s="17" t="inlineStr"/>
      <c r="O17" s="16" t="inlineStr"/>
      <c r="P17" s="16" t="inlineStr"/>
      <c r="Q17" s="16" t="inlineStr"/>
    </row>
    <row r="18">
      <c r="A18" s="18" t="inlineStr">
        <is>
          <t>CONV-016</t>
        </is>
      </c>
      <c r="B18" s="19" t="inlineStr">
        <is>
          <t>C5 – Pagination</t>
        </is>
      </c>
      <c r="C18" s="19" t="inlineStr">
        <is>
          <t>Paginator self-hides on a single page (totalPages &lt;= 1)</t>
        </is>
      </c>
      <c r="D18" s="8" t="inlineStr">
        <is>
          <t>Positive</t>
        </is>
      </c>
      <c r="E18" s="8" t="inlineStr">
        <is>
          <t>High</t>
        </is>
      </c>
      <c r="F18" s="19" t="inlineStr">
        <is>
          <t>Logged in as ORG_ADMIN. A company with 3 customers (below the page size).</t>
        </is>
      </c>
      <c r="G18" s="19" t="inlineStr">
        <is>
          <t>1. Open /admin/customers; assert NO pagination nav is rendered.</t>
        </is>
      </c>
      <c r="H18" s="19" t="inlineStr">
        <is>
          <t>3 customers, size 20 → totalPages 1</t>
        </is>
      </c>
      <c r="I18" s="19" t="inlineStr">
        <is>
          <t>&lt;app-paginator&gt; renders nothing (@if (meta() &amp;&amp; totalPages &gt; 1) is false). No bespoke prev/next buttons exist. Zero rows (totalPages 0) → still hidden.</t>
        </is>
      </c>
      <c r="J18" s="19" t="inlineStr">
        <is>
          <t>/admin/customers</t>
        </is>
      </c>
      <c r="K18" s="19" t="inlineStr">
        <is>
          <t>CUSTOMER.VIEW</t>
        </is>
      </c>
      <c r="L18" s="19" t="inlineStr"/>
      <c r="M18" s="8" t="inlineStr">
        <is>
          <t>Not Run</t>
        </is>
      </c>
      <c r="N18" s="8" t="inlineStr"/>
      <c r="O18" s="19" t="inlineStr"/>
      <c r="P18" s="19" t="inlineStr"/>
      <c r="Q18" s="19" t="inlineStr"/>
    </row>
    <row r="19">
      <c r="A19" s="15" t="inlineStr">
        <is>
          <t>CONV-017</t>
        </is>
      </c>
      <c r="B19" s="16" t="inlineStr">
        <is>
          <t>C5 – Pagination</t>
        </is>
      </c>
      <c r="C19" s="16" t="inlineStr">
        <is>
          <t>Search/filter resets to page 0 and re-paginates</t>
        </is>
      </c>
      <c r="D19" s="17" t="inlineStr">
        <is>
          <t>Positive</t>
        </is>
      </c>
      <c r="E19" s="17" t="inlineStr">
        <is>
          <t>Medium</t>
        </is>
      </c>
      <c r="F19" s="16" t="inlineStr">
        <is>
          <t>Logged in as ORG_ADMIN. Multi-page list.</t>
        </is>
      </c>
      <c r="G19" s="16" t="inlineStr">
        <is>
          <t>1. Navigate to page 3.
2. Type 'Acme' in the search box (300ms debounce).
3. Assert the request fires with page=0 and the filtered query.</t>
        </is>
      </c>
      <c r="H19" s="16" t="inlineStr">
        <is>
          <t>query: Acme; on page 3</t>
        </is>
      </c>
      <c r="I19" s="16" t="inlineStr">
        <is>
          <t>Typing pushes {q, page:0}. Results re-paginate from page 0. Paginator recomputes (or self-hides if filtered set is one page). Page resets immediately on filter change.</t>
        </is>
      </c>
      <c r="J19" s="16" t="inlineStr">
        <is>
          <t>/admin/customers</t>
        </is>
      </c>
      <c r="K19" s="16" t="inlineStr">
        <is>
          <t>CUSTOMER.VIEW</t>
        </is>
      </c>
      <c r="L19" s="16" t="inlineStr"/>
      <c r="M19" s="17" t="inlineStr">
        <is>
          <t>Not Run</t>
        </is>
      </c>
      <c r="N19" s="17" t="inlineStr"/>
      <c r="O19" s="16" t="inlineStr"/>
      <c r="P19" s="16" t="inlineStr"/>
      <c r="Q19" s="16" t="inlineStr"/>
    </row>
    <row r="20">
      <c r="A20" s="18" t="inlineStr">
        <is>
          <t>CONV-018</t>
        </is>
      </c>
      <c r="B20" s="19" t="inlineStr">
        <is>
          <t>C6 – Accessibility</t>
        </is>
      </c>
      <c r="C20" s="19" t="inlineStr">
        <is>
          <t>Axe scan is clean on a populated list screen</t>
        </is>
      </c>
      <c r="D20" s="8" t="inlineStr">
        <is>
          <t>Positive</t>
        </is>
      </c>
      <c r="E20" s="8" t="inlineStr">
        <is>
          <t>High</t>
        </is>
      </c>
      <c r="F20" s="19" t="inlineStr">
        <is>
          <t>Logged in as ORG_ADMIN. At least 1 page of customers.</t>
        </is>
      </c>
      <c r="G20" s="19" t="inlineStr">
        <is>
          <t>1. Open /admin/customers; wait for idle state.
2. Run an axe accessibility scan.</t>
        </is>
      </c>
      <c r="H20" s="19" t="inlineStr">
        <is>
          <t>Any populated list</t>
        </is>
      </c>
      <c r="I20" s="19" t="inlineStr">
        <is>
          <t>Zero WCAG 2.1 AA serious/critical violations. Table has a &lt;caption&gt; (visually hidden with sr-only class), every &lt;th&gt; has scope='col', icons are aria-hidden, action links have aria-label. No colour-only information.</t>
        </is>
      </c>
      <c r="J20" s="19" t="inlineStr">
        <is>
          <t>/admin/customers</t>
        </is>
      </c>
      <c r="K20" s="19" t="inlineStr">
        <is>
          <t>CUSTOMER.VIEW</t>
        </is>
      </c>
      <c r="L20" s="19" t="inlineStr"/>
      <c r="M20" s="8" t="inlineStr">
        <is>
          <t>Not Run</t>
        </is>
      </c>
      <c r="N20" s="8" t="inlineStr"/>
      <c r="O20" s="19" t="inlineStr"/>
      <c r="P20" s="19" t="inlineStr"/>
      <c r="Q20" s="19" t="inlineStr"/>
    </row>
    <row r="21">
      <c r="A21" s="15" t="inlineStr">
        <is>
          <t>CONV-019</t>
        </is>
      </c>
      <c r="B21" s="16" t="inlineStr">
        <is>
          <t>C6 – Accessibility</t>
        </is>
      </c>
      <c r="C21" s="16" t="inlineStr">
        <is>
          <t>Axe scan clean on the multi-FK POS sale form</t>
        </is>
      </c>
      <c r="D21" s="17" t="inlineStr">
        <is>
          <t>Positive</t>
        </is>
      </c>
      <c r="E21" s="17" t="inlineStr">
        <is>
          <t>High</t>
        </is>
      </c>
      <c r="F21" s="16" t="inlineStr">
        <is>
          <t>Logged in as ORG_ADMIN (POS.SALE.CREATE). An open session and at least 1 product exist.</t>
        </is>
      </c>
      <c r="G21" s="16" t="inlineStr">
        <is>
          <t>1. Open /admin/pos/sell; add one line.
2. Run an axe scan.</t>
        </is>
      </c>
      <c r="H21" s="16" t="inlineStr">
        <is>
          <t>Open POS session; one product added</t>
        </is>
      </c>
      <c r="I21" s="16" t="inlineStr">
        <is>
          <t>Zero serious/critical violations. Each picker has an associated &lt;label&gt; or aria-label (Session/Customer/Agent/Currency/per-line Product/Unit/Qty). Required markers use aria-hidden asterisks. Line-items table has a &lt;caption&gt; and scope='col' headers. Errors are role='alert'.</t>
        </is>
      </c>
      <c r="J21" s="16" t="inlineStr">
        <is>
          <t>/admin/pos/sell</t>
        </is>
      </c>
      <c r="K21" s="16" t="inlineStr">
        <is>
          <t>POS.SALE.CREATE</t>
        </is>
      </c>
      <c r="L21" s="16" t="inlineStr"/>
      <c r="M21" s="17" t="inlineStr">
        <is>
          <t>Not Run</t>
        </is>
      </c>
      <c r="N21" s="17" t="inlineStr"/>
      <c r="O21" s="16" t="inlineStr"/>
      <c r="P21" s="16" t="inlineStr"/>
      <c r="Q21" s="16" t="inlineStr"/>
    </row>
    <row r="22">
      <c r="A22" s="18" t="inlineStr">
        <is>
          <t>CONV-020</t>
        </is>
      </c>
      <c r="B22" s="19" t="inlineStr">
        <is>
          <t>C6 – Accessibility</t>
        </is>
      </c>
      <c r="C22" s="19" t="inlineStr">
        <is>
          <t>Keyboard-only operation of paginator and picker</t>
        </is>
      </c>
      <c r="D22" s="8" t="inlineStr">
        <is>
          <t>Positive</t>
        </is>
      </c>
      <c r="E22" s="8" t="inlineStr">
        <is>
          <t>High</t>
        </is>
      </c>
      <c r="F22" s="19" t="inlineStr">
        <is>
          <t>Logged in as ORG_ADMIN. Multi-page list; a picker with options.</t>
        </is>
      </c>
      <c r="G22" s="19" t="inlineStr">
        <is>
          <t>1. Tab to the paginator; press Enter on 'Next' → page advances.
2. Tab to an app-uid-picker select; choose an option with arrow keys.</t>
        </is>
      </c>
      <c r="H22" s="19" t="inlineStr">
        <is>
          <t>Multi-page customer list; product picker</t>
        </is>
      </c>
      <c r="I22" s="19" t="inlineStr">
        <is>
          <t>Both controls are fully keyboard-operable (real &lt;button&gt;s and a native &lt;select&gt;). Focus is visible. Selection updates the bound value. No mouse required.</t>
        </is>
      </c>
      <c r="J22" s="19" t="inlineStr">
        <is>
          <t>/admin/customers</t>
        </is>
      </c>
      <c r="K22" s="19" t="inlineStr">
        <is>
          <t>CUSTOMER.VIEW</t>
        </is>
      </c>
      <c r="L22" s="19" t="inlineStr"/>
      <c r="M22" s="8" t="inlineStr">
        <is>
          <t>Not Run</t>
        </is>
      </c>
      <c r="N22" s="8" t="inlineStr"/>
      <c r="O22" s="19" t="inlineStr"/>
      <c r="P22" s="19" t="inlineStr"/>
      <c r="Q22" s="19" t="inlineStr"/>
    </row>
    <row r="23">
      <c r="A23" s="15" t="inlineStr">
        <is>
          <t>CONV-021</t>
        </is>
      </c>
      <c r="B23" s="16" t="inlineStr">
        <is>
          <t>C7 – Multi-tenancy</t>
        </is>
      </c>
      <c r="C23" s="16" t="inlineStr">
        <is>
          <t>Company isolation: Tenant A user cannot see Tenant B's customers</t>
        </is>
      </c>
      <c r="D23" s="17" t="inlineStr">
        <is>
          <t>Positive</t>
        </is>
      </c>
      <c r="E23" s="17" t="inlineStr">
        <is>
          <t>High</t>
        </is>
      </c>
      <c r="F23" s="16" t="inlineStr">
        <is>
          <t>Two companies A and B each with distinct customers. A user belonging to Company A only.</t>
        </is>
      </c>
      <c r="G23" s="16" t="inlineStr">
        <is>
          <t>1. Log in as Company A user; open /admin/customers.
2. Read all rows.</t>
        </is>
      </c>
      <c r="H23" s="16" t="inlineStr">
        <is>
          <t>Company A customer: A-Customer; Company B customer: B-Customer</t>
        </is>
      </c>
      <c r="I23" s="16" t="inlineStr">
        <is>
          <t>Only A-Customer listed. B-Customer never appears. The company selector shows only Company A (hidden when single company). Forcing ?companyId=&lt;B's id&gt; → backend scope check denies (403 or empty).</t>
        </is>
      </c>
      <c r="J23" s="16" t="inlineStr">
        <is>
          <t>/admin/customers</t>
        </is>
      </c>
      <c r="K23" s="16" t="inlineStr">
        <is>
          <t>CUSTOMER.VIEW</t>
        </is>
      </c>
      <c r="L23" s="16" t="inlineStr"/>
      <c r="M23" s="17" t="inlineStr">
        <is>
          <t>Not Run</t>
        </is>
      </c>
      <c r="N23" s="17" t="inlineStr"/>
      <c r="O23" s="16" t="inlineStr"/>
      <c r="P23" s="16" t="inlineStr"/>
      <c r="Q23" s="16" t="inlineStr"/>
    </row>
    <row r="24">
      <c r="A24" s="18" t="inlineStr">
        <is>
          <t>CONV-022</t>
        </is>
      </c>
      <c r="B24" s="19" t="inlineStr">
        <is>
          <t>C7 – Multi-tenancy</t>
        </is>
      </c>
      <c r="C24" s="19" t="inlineStr">
        <is>
          <t>Branch switch changes X-Branch-Uid header and reloads branch-scoped data</t>
        </is>
      </c>
      <c r="D24" s="8" t="inlineStr">
        <is>
          <t>Positive</t>
        </is>
      </c>
      <c r="E24" s="8" t="inlineStr">
        <is>
          <t>High</t>
        </is>
      </c>
      <c r="F24" s="19" t="inlineStr">
        <is>
          <t>A user assigned to at least 2 branches. Branch-scoped data differs per branch.</t>
        </is>
      </c>
      <c r="G24" s="19" t="inlineStr">
        <is>
          <t>1. Note the active branch name in the switcher.
2. Open the branch menu; pick another branch BY NAME.
3. Capture a subsequent API call's request headers.</t>
        </is>
      </c>
      <c r="H24" s="19" t="inlineStr">
        <is>
          <t>Branch HQ (default) and Mwanza Depot</t>
        </is>
      </c>
      <c r="I24" s="19" t="inlineStr">
        <is>
          <t>auth.switchBranch(branchUid) updates SessionStore.activeBranchUid. Subsequent requests carry X-Branch-Uid: &lt;new branch uid&gt; (authHeaderInterceptor). Branch-scoped lists reload. Branch selected by name — uid never shown or typed.</t>
        </is>
      </c>
      <c r="J24" s="19" t="inlineStr">
        <is>
          <t>/admin</t>
        </is>
      </c>
      <c r="K24" s="19" t="inlineStr"/>
      <c r="L24" s="19" t="inlineStr"/>
      <c r="M24" s="8" t="inlineStr">
        <is>
          <t>Not Run</t>
        </is>
      </c>
      <c r="N24" s="8" t="inlineStr"/>
      <c r="O24" s="19" t="inlineStr"/>
      <c r="P24" s="19" t="inlineStr"/>
      <c r="Q24" s="19" t="inlineStr"/>
    </row>
    <row r="25">
      <c r="A25" s="15" t="inlineStr">
        <is>
          <t>CONV-023</t>
        </is>
      </c>
      <c r="B25" s="16" t="inlineStr">
        <is>
          <t>C7 – Multi-tenancy</t>
        </is>
      </c>
      <c r="C25" s="16" t="inlineStr">
        <is>
          <t>Acting in an unassigned branch via forged X-Branch-Uid is denied</t>
        </is>
      </c>
      <c r="D25" s="17" t="inlineStr">
        <is>
          <t>Negative</t>
        </is>
      </c>
      <c r="E25" s="17" t="inlineStr">
        <is>
          <t>High</t>
        </is>
      </c>
      <c r="F25" s="16" t="inlineStr">
        <is>
          <t>User assigned to branch HQ only. Branch Mwanza exists but user is NOT assigned.</t>
        </is>
      </c>
      <c r="G25" s="16" t="inlineStr">
        <is>
          <t>1. Issue an API call with X-Branch-Uid: &lt;Mwanza uid&gt; while logged in as the HQ-only user.</t>
        </is>
      </c>
      <c r="H25" s="16" t="inlineStr">
        <is>
          <t>Mwanza branch uid</t>
        </is>
      </c>
      <c r="I25" s="16" t="inlineStr">
        <is>
          <t>Backend rejects the request (403 / scope error). The user cannot act in a branch they are not assigned to. The shell switcher never offers Mwanza to this user so the UI cannot reach this state normally.</t>
        </is>
      </c>
      <c r="J25" s="16" t="inlineStr"/>
      <c r="K25" s="16" t="inlineStr"/>
      <c r="L25" s="16" t="inlineStr"/>
      <c r="M25" s="17" t="inlineStr">
        <is>
          <t>Not Run</t>
        </is>
      </c>
      <c r="N25" s="17" t="inlineStr"/>
      <c r="O25" s="16" t="inlineStr"/>
      <c r="P25" s="16" t="inlineStr"/>
      <c r="Q25" s="16" t="inlineStr"/>
    </row>
    <row r="26">
      <c r="A26" s="18" t="inlineStr">
        <is>
          <t>CONV-024</t>
        </is>
      </c>
      <c r="B26" s="19" t="inlineStr">
        <is>
          <t>C8 – Money/date formatting</t>
        </is>
      </c>
      <c r="C26" s="19" t="inlineStr">
        <is>
          <t>Money rendered as 2-decimal amount paired with currency code; date rendered as ISO yyyy-MM-dd</t>
        </is>
      </c>
      <c r="D26" s="8" t="inlineStr">
        <is>
          <t>Positive</t>
        </is>
      </c>
      <c r="E26" s="8" t="inlineStr">
        <is>
          <t>High</t>
        </is>
      </c>
      <c r="F26" s="19" t="inlineStr">
        <is>
          <t>Logged in as ORG_ADMIN. An AR invoice with a non-trivial total (e.g. 1234.5) exists. A POS receipt exists.</t>
        </is>
      </c>
      <c r="G26" s="19" t="inlineStr">
        <is>
          <t>1. Open the AR invoices list; read the rendered amount strings.
2. Open a POS sale receipt; read the total.
3. Open a journal detail; read the posting date.</t>
        </is>
      </c>
      <c r="H26" s="19" t="inlineStr">
        <is>
          <t>Total: 1234.5 in TZS; posting date: 2026-06-14</t>
        </is>
      </c>
      <c r="I26" s="19" t="inlineStr">
        <is>
          <t>Amount renders with exactly 2 decimals paired with currency code. Wire value is a string (no floating-point artifacts). POS uses number:'1.2-2' → groups (TZS 1,234.50). AR uses fmtMoney → toFixed(2) → does NOT group (1234.50 TZS). Null amount renders 0.00, never NaN. Date displays as ISO 2026-06-14.</t>
        </is>
      </c>
      <c r="J26" s="19" t="inlineStr">
        <is>
          <t>/admin/ar/invoices</t>
        </is>
      </c>
      <c r="K26" s="19" t="inlineStr">
        <is>
          <t>AR.VIEW</t>
        </is>
      </c>
      <c r="L26" s="19" t="inlineStr"/>
      <c r="M26" s="8" t="inlineStr">
        <is>
          <t>Not Run</t>
        </is>
      </c>
      <c r="N26" s="8" t="inlineStr"/>
      <c r="O26" s="19" t="inlineStr"/>
      <c r="P26" s="19" t="inlineStr"/>
      <c r="Q26" s="19" t="inlineStr"/>
    </row>
    <row r="27">
      <c r="A27" s="15" t="inlineStr">
        <is>
          <t>CONV-025</t>
        </is>
      </c>
      <c r="B27" s="16" t="inlineStr">
        <is>
          <t>C9 – Soft-delete / append-only</t>
        </is>
      </c>
      <c r="C27" s="16" t="inlineStr">
        <is>
          <t>Customer archive sets a status (ARCHIVED), not a hard delete; row remains retrievable</t>
        </is>
      </c>
      <c r="D27" s="17" t="inlineStr">
        <is>
          <t>Positive</t>
        </is>
      </c>
      <c r="E27" s="17" t="inlineStr">
        <is>
          <t>High</t>
        </is>
      </c>
      <c r="F27" s="16" t="inlineStr">
        <is>
          <t>Logged in as ORG_ADMIN (holds CUSTOMER.MANAGE). One ACTIVE customer.</t>
        </is>
      </c>
      <c r="G27" s="16" t="inlineStr">
        <is>
          <t>1. Archive the customer from its detail screen.
2. Re-fetch the customer by uid.</t>
        </is>
      </c>
      <c r="H27" s="16" t="inlineStr">
        <is>
          <t>Customer: Old Client (ACTIVE)</t>
        </is>
      </c>
      <c r="I27" s="16" t="inlineStr">
        <is>
          <t>PUT /api/v1/customers/uid/{uid}/archive returns 204. Customer still exists on GET /api/v1/customers/uid/{uid} with status=ARCHIVED (muted badge). Not removed from the database. CUSTOMER.VIEW-only: archive button hidden + forced PUT 403.</t>
        </is>
      </c>
      <c r="J27" s="16" t="inlineStr">
        <is>
          <t>/admin/customers/uid/:uid</t>
        </is>
      </c>
      <c r="K27" s="16" t="inlineStr">
        <is>
          <t>CUSTOMER.MANAGE</t>
        </is>
      </c>
      <c r="L27" s="16" t="inlineStr"/>
      <c r="M27" s="17" t="inlineStr">
        <is>
          <t>Not Run</t>
        </is>
      </c>
      <c r="N27" s="17" t="inlineStr"/>
      <c r="O27" s="16" t="inlineStr"/>
      <c r="P27" s="16" t="inlineStr"/>
      <c r="Q27" s="16" t="inlineStr"/>
    </row>
    <row r="28">
      <c r="A28" s="18" t="inlineStr">
        <is>
          <t>CONV-026</t>
        </is>
      </c>
      <c r="B28" s="19" t="inlineStr">
        <is>
          <t>C9 – Soft-delete / append-only</t>
        </is>
      </c>
      <c r="C28" s="19" t="inlineStr">
        <is>
          <t>Archived customer can be restored (reversible soft-delete)</t>
        </is>
      </c>
      <c r="D28" s="8" t="inlineStr">
        <is>
          <t>Positive</t>
        </is>
      </c>
      <c r="E28" s="8" t="inlineStr">
        <is>
          <t>High</t>
        </is>
      </c>
      <c r="F28" s="19" t="inlineStr">
        <is>
          <t>Logged in as ORG_ADMIN. An ARCHIVED customer (from CONV-025).</t>
        </is>
      </c>
      <c r="G28" s="19" t="inlineStr">
        <is>
          <t>1. Restore the customer from its detail screen.
2. Re-fetch the customer.</t>
        </is>
      </c>
      <c r="H28" s="19" t="inlineStr">
        <is>
          <t>Customer: Old Client (ARCHIVED)</t>
        </is>
      </c>
      <c r="I28" s="19" t="inlineStr">
        <is>
          <t>PUT /api/v1/customers/uid/{uid}/restore returns 204. Status flips back to ACTIVE. Proves soft-delete is reversible. Restoring an already-ACTIVE customer is idempotent or returns a benign 4xx surfaced in errors[0].</t>
        </is>
      </c>
      <c r="J28" s="19" t="inlineStr">
        <is>
          <t>/admin/customers/uid/:uid</t>
        </is>
      </c>
      <c r="K28" s="19" t="inlineStr">
        <is>
          <t>CUSTOMER.MANAGE</t>
        </is>
      </c>
      <c r="L28" s="19" t="inlineStr"/>
      <c r="M28" s="8" t="inlineStr">
        <is>
          <t>Not Run</t>
        </is>
      </c>
      <c r="N28" s="8" t="inlineStr"/>
      <c r="O28" s="19" t="inlineStr"/>
      <c r="P28" s="19" t="inlineStr"/>
      <c r="Q28" s="19" t="inlineStr"/>
    </row>
    <row r="29">
      <c r="A29" s="15" t="inlineStr">
        <is>
          <t>CONV-027</t>
        </is>
      </c>
      <c r="B29" s="16" t="inlineStr">
        <is>
          <t>C9 – Soft-delete / append-only</t>
        </is>
      </c>
      <c r="C29" s="16" t="inlineStr">
        <is>
          <t>GL account 'delete' is a deactivate (soft-delete) — not removal</t>
        </is>
      </c>
      <c r="D29" s="17" t="inlineStr">
        <is>
          <t>Positive</t>
        </is>
      </c>
      <c r="E29" s="17" t="inlineStr">
        <is>
          <t>High</t>
        </is>
      </c>
      <c r="F29" s="16" t="inlineStr">
        <is>
          <t>Logged in as ORG_ADMIN (holds GL.MANAGE). One unused ACTIVE GL account.</t>
        </is>
      </c>
      <c r="G29" s="16" t="inlineStr">
        <is>
          <t>1. Trigger the account 'delete' action.
2. Re-fetch the account by uid.
3. Open the journal line account picker and confirm the account is excluded.</t>
        </is>
      </c>
      <c r="H29" s="16" t="inlineStr">
        <is>
          <t>Account: 9999 — Suspense</t>
        </is>
      </c>
      <c r="I29" s="16" t="inlineStr">
        <is>
          <t>DELETE /api/v1/gl/accounts/uid/{uid} calls service.deactivate (returns 204). Account still exists on GET with status=INACTIVE. Not removed. Account is excluded from the journal line picker (inactive filtered out). Existing postings unaffected.</t>
        </is>
      </c>
      <c r="J29" s="16" t="inlineStr">
        <is>
          <t>/admin/gl/accounts</t>
        </is>
      </c>
      <c r="K29" s="16" t="inlineStr">
        <is>
          <t>GL.MANAGE</t>
        </is>
      </c>
      <c r="L29" s="16" t="inlineStr"/>
      <c r="M29" s="17" t="inlineStr">
        <is>
          <t>Not Run</t>
        </is>
      </c>
      <c r="N29" s="17" t="inlineStr"/>
      <c r="O29" s="16" t="inlineStr"/>
      <c r="P29" s="16" t="inlineStr"/>
      <c r="Q29" s="16" t="inlineStr"/>
    </row>
    <row r="30">
      <c r="A30" s="18" t="inlineStr">
        <is>
          <t>CONV-028</t>
        </is>
      </c>
      <c r="B30" s="19" t="inlineStr">
        <is>
          <t>C9 – Soft-delete / append-only</t>
        </is>
      </c>
      <c r="C30" s="19" t="inlineStr">
        <is>
          <t>Journal is corrected by a reversal entry (append-only); no edit/delete of a posted entry</t>
        </is>
      </c>
      <c r="D30" s="8" t="inlineStr">
        <is>
          <t>Positive</t>
        </is>
      </c>
      <c r="E30" s="8" t="inlineStr">
        <is>
          <t>High</t>
        </is>
      </c>
      <c r="F30" s="19" t="inlineStr">
        <is>
          <t>Logged in as ORG_ADMIN (holds GL.POST). One posted JournalEntry.</t>
        </is>
      </c>
      <c r="G30" s="19" t="inlineStr">
        <is>
          <t>1. Open the posted journal detail.
2. Confirm there is NO edit or delete affordance — only a Reverse action.
3. Reverse the entry (with a reversal date).
4. Check the original entry and the new reversing entry.</t>
        </is>
      </c>
      <c r="H30" s="19" t="inlineStr">
        <is>
          <t>Original journal: JE-2026-0011; reversalDate: 2026-06-14</t>
        </is>
      </c>
      <c r="I30" s="19" t="inlineStr">
        <is>
          <t>POST /api/v1/gl/journals/uid/{uid}/reverse returns 201 with a new JournalEntryDto (debits/credits swapped). Original entry is unchanged and still present. No PUT/DELETE for posted journals. GL.VIEW-only user: reverse returns 403. Reversing an already-reversed entry → server rule rejects (errors[0]).</t>
        </is>
      </c>
      <c r="J30" s="19" t="inlineStr">
        <is>
          <t>/admin/gl/journals</t>
        </is>
      </c>
      <c r="K30" s="19" t="inlineStr">
        <is>
          <t>GL.POST</t>
        </is>
      </c>
      <c r="L30" s="19" t="inlineStr"/>
      <c r="M30" s="8" t="inlineStr">
        <is>
          <t>Not Run</t>
        </is>
      </c>
      <c r="N30" s="8" t="inlineStr"/>
      <c r="O30" s="19" t="inlineStr"/>
      <c r="P30" s="19" t="inlineStr"/>
      <c r="Q30" s="19" t="inlineStr"/>
    </row>
    <row r="31">
      <c r="A31" s="15" t="inlineStr">
        <is>
          <t>CONV-029</t>
        </is>
      </c>
      <c r="B31" s="16" t="inlineStr">
        <is>
          <t>C9 – Soft-delete / append-only</t>
        </is>
      </c>
      <c r="C31" s="16" t="inlineStr">
        <is>
          <t>Archived master is hidden from active pickers but visible in an archive filter on the master list</t>
        </is>
      </c>
      <c r="D31" s="17" t="inlineStr">
        <is>
          <t>Positive</t>
        </is>
      </c>
      <c r="E31" s="17" t="inlineStr">
        <is>
          <t>Medium</t>
        </is>
      </c>
      <c r="F31" s="16" t="inlineStr">
        <is>
          <t>Logged in as ORG_ADMIN. One ARCHIVED customer and several ACTIVE customers.</t>
        </is>
      </c>
      <c r="G31" s="16" t="inlineStr">
        <is>
          <t>1. Open a transaction screen that picks a customer (e.g. POS sale); check if the ARCHIVED customer appears.
2. Open /admin/customers; search or apply status filter; locate the archived customer.</t>
        </is>
      </c>
      <c r="H31" s="16" t="inlineStr">
        <is>
          <t>Archived customer: Old Client</t>
        </is>
      </c>
      <c r="I31" s="16" t="inlineStr">
        <is>
          <t>The archived customer does NOT appear in transaction pickers (excluded from active use). It DOES appear in the master list with an ARCHIVED status badge (discoverable for audit). Demonstrates soft-delete preserves history while removing from active use.</t>
        </is>
      </c>
      <c r="J31" s="16" t="inlineStr">
        <is>
          <t>/admin/customers</t>
        </is>
      </c>
      <c r="K31" s="16" t="inlineStr">
        <is>
          <t>CUSTOMER.VIEW</t>
        </is>
      </c>
      <c r="L31" s="16" t="inlineStr"/>
      <c r="M31" s="17" t="inlineStr">
        <is>
          <t>Not Run</t>
        </is>
      </c>
      <c r="N31" s="17" t="inlineStr"/>
      <c r="O31" s="16" t="inlineStr"/>
      <c r="P31" s="16" t="inlineStr"/>
      <c r="Q31" s="16" t="inlineStr"/>
    </row>
    <row r="32">
      <c r="A32" s="18" t="inlineStr">
        <is>
          <t>CONV-030</t>
        </is>
      </c>
      <c r="B32" s="19" t="inlineStr">
        <is>
          <t>C1-C9 IAM screens sweep</t>
        </is>
      </c>
      <c r="C32" s="19" t="inlineStr">
        <is>
          <t>No raw uid displayed across all IAM screens (companies, branches, users, roles, role-grants)</t>
        </is>
      </c>
      <c r="D32" s="8" t="inlineStr">
        <is>
          <t>Positive</t>
        </is>
      </c>
      <c r="E32" s="8" t="inlineStr">
        <is>
          <t>High</t>
        </is>
      </c>
      <c r="F32" s="19" t="inlineStr">
        <is>
          <t>Logged in as ORG_ADMIN.</t>
        </is>
      </c>
      <c r="G32" s="19" t="inlineStr">
        <is>
          <t>1. Visit each IAM screen in order: /admin/companies, /admin/companies/:companyUid/branches, /admin/users, /admin/users/uid/:uid, /admin/roles, /admin/roles/uid/:uid, /admin/role-grants.
2. On each screen scan all visible text and inputs for uid strings.</t>
        </is>
      </c>
      <c r="H32" s="19" t="inlineStr">
        <is>
          <t>All IAM screens</t>
        </is>
      </c>
      <c r="I32" s="19" t="inlineStr">
        <is>
          <t>uids appear ONLY in URL path segments (/uid/&lt;uid&gt;). Every cross-resource reference is selected via a NAME-bearing select or picker. No &lt;input&gt; accepts a raw uid. Tables/labels show codes/names, never uids. The grant/branch panels show a picker placeholder ('— select —') by name.</t>
        </is>
      </c>
      <c r="J32" s="19" t="inlineStr">
        <is>
          <t>/admin/companies</t>
        </is>
      </c>
      <c r="K32" s="19" t="inlineStr">
        <is>
          <t>COMPANY.VIEW</t>
        </is>
      </c>
      <c r="L32" s="19" t="inlineStr"/>
      <c r="M32" s="8" t="inlineStr">
        <is>
          <t>Not Run</t>
        </is>
      </c>
      <c r="N32" s="8" t="inlineStr"/>
      <c r="O32" s="19" t="inlineStr"/>
      <c r="P32" s="19" t="inlineStr"/>
      <c r="Q32" s="19" t="inlineStr"/>
    </row>
    <row r="33">
      <c r="A33" s="15" t="inlineStr">
        <is>
          <t>CONV-031</t>
        </is>
      </c>
      <c r="B33" s="16" t="inlineStr">
        <is>
          <t>C6 – Accessibility – IAM screens</t>
        </is>
      </c>
      <c r="C33" s="16" t="inlineStr">
        <is>
          <t>Axe scan clean across all IAM routes</t>
        </is>
      </c>
      <c r="D33" s="17" t="inlineStr">
        <is>
          <t>Positive</t>
        </is>
      </c>
      <c r="E33" s="17" t="inlineStr">
        <is>
          <t>Medium</t>
        </is>
      </c>
      <c r="F33" s="16" t="inlineStr">
        <is>
          <t>Logged in as ORG_ADMIN.</t>
        </is>
      </c>
      <c r="G33" s="16" t="inlineStr">
        <is>
          <t>1. Load each route and run an axe scan: /login, /admin/companies, /admin/companies/:companyUid/branches, /admin/users, /admin/users/uid/:uid, /admin/roles, /admin/roles/uid/:uid, /admin/role-grants.
2. Tab through forms on each screen.</t>
        </is>
      </c>
      <c r="H33" s="16" t="inlineStr">
        <is>
          <t>All IAM routes</t>
        </is>
      </c>
      <c r="I33" s="16" t="inlineStr">
        <is>
          <t>Zero WCAG 2.1 AA serious/critical violations on each screen. All inputs/selects have labels or aria-labels. Tables have captions and scope='col' headers. Branch and user menus are keyboard-operable. axe passes on the /login page.</t>
        </is>
      </c>
      <c r="J33" s="16" t="inlineStr">
        <is>
          <t>/login</t>
        </is>
      </c>
      <c r="K33" s="16" t="inlineStr"/>
      <c r="L33" s="16" t="inlineStr"/>
      <c r="M33" s="17" t="inlineStr">
        <is>
          <t>Not Run</t>
        </is>
      </c>
      <c r="N33" s="17" t="inlineStr"/>
      <c r="O33" s="16" t="inlineStr"/>
      <c r="P33" s="16" t="inlineStr"/>
      <c r="Q33" s="16" t="inlineStr"/>
    </row>
  </sheetData>
  <autoFilter ref="A2:Q33"/>
  <mergeCells count="1">
    <mergeCell ref="A1:Q1"/>
  </mergeCells>
  <dataValidations count="4">
    <dataValidation sqref="D3:D33" showDropDown="0" showInputMessage="0" showErrorMessage="0" allowBlank="1" type="list">
      <formula1>"Positive,Negative,Permission,Edge"</formula1>
    </dataValidation>
    <dataValidation sqref="E3:E33" showDropDown="0" showInputMessage="0" showErrorMessage="0" allowBlank="1" type="list">
      <formula1>"High,Medium,Low"</formula1>
    </dataValidation>
    <dataValidation sqref="M3:M33" showDropDown="0" showInputMessage="0" showErrorMessage="0" allowBlank="1" type="list">
      <formula1>"Not Run,Pass,Fail,Blocked,N/A"</formula1>
    </dataValidation>
    <dataValidation sqref="N3:N33" showDropDown="0" showInputMessage="0" showErrorMessage="0" allowBlank="1" type="list">
      <formula1>"-,Critical,High,Medium,Low"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6"/>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Masters – Parties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CUST-001</t>
        </is>
      </c>
      <c r="B3" s="16" t="inlineStr">
        <is>
          <t>Customers</t>
        </is>
      </c>
      <c r="C3" s="16" t="inlineStr">
        <is>
          <t>Customer list loads scoped to active company</t>
        </is>
      </c>
      <c r="D3" s="17" t="inlineStr">
        <is>
          <t>Positive</t>
        </is>
      </c>
      <c r="E3" s="17" t="inlineStr">
        <is>
          <t>High</t>
        </is>
      </c>
      <c r="F3" s="16" t="inlineStr">
        <is>
          <t>Logged in as ORG_ADMIN. Company A has at least 3 active customers (mix of CASH_WALK_IN and CREDIT_ACCOUNT).</t>
        </is>
      </c>
      <c r="G3" s="16" t="inlineStr">
        <is>
          <t>1. Navigate to /admin/customers.
2. Wait for the table to render.
3. Verify rows show code (CUST-####), display name, party type, customer kind, and status badge.
4. Confirm the company selector defaults to the active company.
5. Confirm no raw uid is visible in any table cell.</t>
        </is>
      </c>
      <c r="H3" s="16" t="inlineStr">
        <is>
          <t>Customers: 'Acme Traders' (BUSINESS/CREDIT_ACCOUNT), 'Jane Walk-in' (INDIVIDUAL/CASH_WALK_IN), 'Mega Distributors' (BUSINESS/CREDIT_ACCOUNT).</t>
        </is>
      </c>
      <c r="I3" s="16" t="inlineStr">
        <is>
          <t>Table lists only Company A customers. HTTP 200. ApiResponse envelope with data[] and meta. No uid visible in cells. Status badge text readable.</t>
        </is>
      </c>
      <c r="J3" s="16" t="inlineStr">
        <is>
          <t>/admin/customers | GET /api/v1/customers?companyId=&amp;q=&amp;page=&amp;size=</t>
        </is>
      </c>
      <c r="K3" s="16" t="inlineStr">
        <is>
          <t>CUSTOMER.VIEW</t>
        </is>
      </c>
      <c r="L3" s="16" t="inlineStr"/>
      <c r="M3" s="17" t="inlineStr">
        <is>
          <t>Not Run</t>
        </is>
      </c>
      <c r="N3" s="17" t="inlineStr"/>
      <c r="O3" s="16" t="inlineStr"/>
      <c r="P3" s="16" t="inlineStr"/>
      <c r="Q3" s="16" t="inlineStr"/>
    </row>
    <row r="4">
      <c r="A4" s="18" t="inlineStr">
        <is>
          <t>CUST-002</t>
        </is>
      </c>
      <c r="B4" s="19" t="inlineStr">
        <is>
          <t>Customers</t>
        </is>
      </c>
      <c r="C4" s="19" t="inlineStr">
        <is>
          <t>Customer list empty state</t>
        </is>
      </c>
      <c r="D4" s="8" t="inlineStr">
        <is>
          <t>Edge</t>
        </is>
      </c>
      <c r="E4" s="8" t="inlineStr">
        <is>
          <t>Medium</t>
        </is>
      </c>
      <c r="F4" s="19" t="inlineStr">
        <is>
          <t>A company with zero customers exists. Logged in as ORG_ADMIN.</t>
        </is>
      </c>
      <c r="G4" s="19" t="inlineStr">
        <is>
          <t>1. Navigate to /admin/customers.
2. Switch the company selector to the empty company.
3. Observe the rendered state.</t>
        </is>
      </c>
      <c r="H4" s="19" t="inlineStr">
        <is>
          <t>Company with 0 customers.</t>
        </is>
      </c>
      <c r="I4" s="19" t="inlineStr">
        <is>
          <t>Distinct empty-state message rendered (not a spinner, not an error). No table rows. Paginator hidden. Create button still reachable for MANAGE-role users.</t>
        </is>
      </c>
      <c r="J4" s="19" t="inlineStr">
        <is>
          <t>/admin/customers | GET /api/v1/customers</t>
        </is>
      </c>
      <c r="K4" s="19" t="inlineStr">
        <is>
          <t>CUSTOMER.VIEW</t>
        </is>
      </c>
      <c r="L4" s="19" t="inlineStr"/>
      <c r="M4" s="8" t="inlineStr">
        <is>
          <t>Not Run</t>
        </is>
      </c>
      <c r="N4" s="8" t="inlineStr"/>
      <c r="O4" s="19" t="inlineStr"/>
      <c r="P4" s="19" t="inlineStr"/>
      <c r="Q4" s="19" t="inlineStr"/>
    </row>
    <row r="5">
      <c r="A5" s="15" t="inlineStr">
        <is>
          <t>CUST-003</t>
        </is>
      </c>
      <c r="B5" s="16" t="inlineStr">
        <is>
          <t>Customers</t>
        </is>
      </c>
      <c r="C5" s="16" t="inlineStr">
        <is>
          <t>Customer list forbidden for user without CUSTOMER.VIEW</t>
        </is>
      </c>
      <c r="D5" s="17" t="inlineStr">
        <is>
          <t>Permission</t>
        </is>
      </c>
      <c r="E5" s="17" t="inlineStr">
        <is>
          <t>High</t>
        </is>
      </c>
      <c r="F5" s="16" t="inlineStr">
        <is>
          <t>A user with zero permissions is available.</t>
        </is>
      </c>
      <c r="G5" s="16" t="inlineStr">
        <is>
          <t>1. Log in as the NO-PERMISSION user.
2. Confirm 'Customers' nav item is absent from the shell.
3. Navigate directly to /admin/customers.
4. Observe the screen state.
5. Call GET /api/v1/customers directly.</t>
        </is>
      </c>
      <c r="H5" s="16" t="inlineStr">
        <is>
          <t>NO-PERMISSION user account.</t>
        </is>
      </c>
      <c r="I5" s="16" t="inlineStr">
        <is>
          <t>Nav item hidden. Route guard blocks direct navigation – forbidden screen shown. Direct API call returns HTTP 403 with ApiResponse errors[].</t>
        </is>
      </c>
      <c r="J5" s="16" t="inlineStr">
        <is>
          <t>/admin/customers | GET /api/v1/customers</t>
        </is>
      </c>
      <c r="K5" s="16" t="inlineStr">
        <is>
          <t>CUSTOMER.VIEW</t>
        </is>
      </c>
      <c r="L5" s="16" t="inlineStr"/>
      <c r="M5" s="17" t="inlineStr">
        <is>
          <t>Not Run</t>
        </is>
      </c>
      <c r="N5" s="17" t="inlineStr"/>
      <c r="O5" s="16" t="inlineStr"/>
      <c r="P5" s="16" t="inlineStr"/>
      <c r="Q5" s="16" t="inlineStr"/>
    </row>
    <row r="6">
      <c r="A6" s="18" t="inlineStr">
        <is>
          <t>CUST-004</t>
        </is>
      </c>
      <c r="B6" s="19" t="inlineStr">
        <is>
          <t>Customers</t>
        </is>
      </c>
      <c r="C6" s="19" t="inlineStr">
        <is>
          <t>Customer search by name (substring) and by TIN/phone/code (exact)</t>
        </is>
      </c>
      <c r="D6" s="8" t="inlineStr">
        <is>
          <t>Positive</t>
        </is>
      </c>
      <c r="E6" s="8" t="inlineStr">
        <is>
          <t>High</t>
        </is>
      </c>
      <c r="F6" s="19" t="inlineStr">
        <is>
          <t>Company A has customers with known name 'Acme Traders', TIN 123456789, phone 0712000111, code CUST-0007. Logged in as ORG_ADMIN.</t>
        </is>
      </c>
      <c r="G6" s="19" t="inlineStr">
        <is>
          <t>1. Navigate to /admin/customers.
2. Type 'Acme' in the search box; wait 300 ms debounce; assert only matching rows appear.
3. Clear; type exact TIN '123456789'; assert the matching customer appears.
4. Clear; type exact phone '0712000111'; assert match.
5. Clear; type exact code 'CUST-0007'; assert match.
6. Clear search; assert full list returns at page 0.</t>
        </is>
      </c>
      <c r="H6" s="19" t="inlineStr">
        <is>
          <t>Customers as described in preconditions.</t>
        </is>
      </c>
      <c r="I6" s="19" t="inlineStr">
        <is>
          <t>Name search is case-insensitive substring. TIN/phone/code are exact-match only. Partial TIN returns no match. Blank query returns unfiltered list. Page resets to 0 on each new query.</t>
        </is>
      </c>
      <c r="J6" s="19" t="inlineStr">
        <is>
          <t>/admin/customers | GET /api/v1/customers?q=</t>
        </is>
      </c>
      <c r="K6" s="19" t="inlineStr">
        <is>
          <t>CUSTOMER.VIEW</t>
        </is>
      </c>
      <c r="L6" s="19" t="inlineStr"/>
      <c r="M6" s="8" t="inlineStr">
        <is>
          <t>Not Run</t>
        </is>
      </c>
      <c r="N6" s="8" t="inlineStr"/>
      <c r="O6" s="19" t="inlineStr"/>
      <c r="P6" s="19" t="inlineStr"/>
      <c r="Q6" s="19" t="inlineStr"/>
    </row>
    <row r="7">
      <c r="A7" s="15" t="inlineStr">
        <is>
          <t>CUST-005</t>
        </is>
      </c>
      <c r="B7" s="16" t="inlineStr">
        <is>
          <t>Customers</t>
        </is>
      </c>
      <c r="C7" s="16" t="inlineStr">
        <is>
          <t>Create INDIVIDUAL + CASH_WALK_IN customer (happy path)</t>
        </is>
      </c>
      <c r="D7" s="17" t="inlineStr">
        <is>
          <t>Positive</t>
        </is>
      </c>
      <c r="E7" s="17" t="inlineStr">
        <is>
          <t>High</t>
        </is>
      </c>
      <c r="F7" s="16" t="inlineStr">
        <is>
          <t>Logged in as ORG_ADMIN. Active company selected.</t>
        </is>
      </c>
      <c r="G7" s="16" t="inlineStr">
        <is>
          <t>1. Navigate to /admin/customers; click 'New Customer'.
2. Enter display name 'Jane Walk-in', party type = Individual, kind = Cash/Walk-in.
3. Submit.
4. Verify new row appears with server-assigned code (CUST-#### prefix).</t>
        </is>
      </c>
      <c r="H7" s="16" t="inlineStr">
        <is>
          <t>displayName='Jane Walk-in', partyType=INDIVIDUAL, customerKind=CASH_WALK_IN.</t>
        </is>
      </c>
      <c r="I7" s="16" t="inlineStr">
        <is>
          <t>HTTP 201. Success alert. New row appears with CUST-#### code. status=ACTIVE. No credit-limit or payment-terms fields sent. No uid visible in any label or cell.</t>
        </is>
      </c>
      <c r="J7" s="16" t="inlineStr">
        <is>
          <t>/admin/customers | POST /api/v1/customers</t>
        </is>
      </c>
      <c r="K7" s="16" t="inlineStr">
        <is>
          <t>CUSTOMER.MANAGE</t>
        </is>
      </c>
      <c r="L7" s="16" t="inlineStr"/>
      <c r="M7" s="17" t="inlineStr">
        <is>
          <t>Not Run</t>
        </is>
      </c>
      <c r="N7" s="17" t="inlineStr"/>
      <c r="O7" s="16" t="inlineStr"/>
      <c r="P7" s="16" t="inlineStr"/>
      <c r="Q7" s="16" t="inlineStr"/>
    </row>
    <row r="8">
      <c r="A8" s="18" t="inlineStr">
        <is>
          <t>CUST-006</t>
        </is>
      </c>
      <c r="B8" s="19" t="inlineStr">
        <is>
          <t>Customers</t>
        </is>
      </c>
      <c r="C8" s="19" t="inlineStr">
        <is>
          <t>Create BUSINESS + CREDIT_ACCOUNT customer with credit limit and payment terms</t>
        </is>
      </c>
      <c r="D8" s="8" t="inlineStr">
        <is>
          <t>Positive</t>
        </is>
      </c>
      <c r="E8" s="8" t="inlineStr">
        <is>
          <t>High</t>
        </is>
      </c>
      <c r="F8" s="19" t="inlineStr">
        <is>
          <t>Logged in as ORG_ADMIN. Active company selected.</t>
        </is>
      </c>
      <c r="G8" s="19" t="inlineStr">
        <is>
          <t>1. Open create form: displayName='Mega Distributors', party type=Business, TIN=100200300, vatRegistered=yes, VRN='40-123456-X', kind=Credit Account. Submit.
2. Open the created customer at /admin/customers/uid/:uid.
3. Set creditLimit amount=5000000, currency=TZS, paymentTermsDays=30. Save.</t>
        </is>
      </c>
      <c r="H8" s="19" t="inlineStr">
        <is>
          <t>creditLimit={amount:'5000000',currency:'TZS'}, paymentTermsDays=30.</t>
        </is>
      </c>
      <c r="I8" s="19" t="inlineStr">
        <is>
          <t>Create returns 201. Edit returns 200. Credit limit stored as MoneyDto. Detail shows 'TZS 5,000,000.00'. paymentTermsDays=30 persisted.</t>
        </is>
      </c>
      <c r="J8" s="19" t="inlineStr">
        <is>
          <t>/admin/customers | POST /api/v1/customers | PUT /api/v1/customers/uid/{uid}</t>
        </is>
      </c>
      <c r="K8" s="19" t="inlineStr">
        <is>
          <t>CUSTOMER.MANAGE</t>
        </is>
      </c>
      <c r="L8" s="19" t="inlineStr"/>
      <c r="M8" s="8" t="inlineStr">
        <is>
          <t>Not Run</t>
        </is>
      </c>
      <c r="N8" s="8" t="inlineStr"/>
      <c r="O8" s="19" t="inlineStr"/>
      <c r="P8" s="19" t="inlineStr"/>
      <c r="Q8" s="19" t="inlineStr"/>
    </row>
    <row r="9">
      <c r="A9" s="15" t="inlineStr">
        <is>
          <t>CUST-007</t>
        </is>
      </c>
      <c r="B9" s="16" t="inlineStr">
        <is>
          <t>Customers</t>
        </is>
      </c>
      <c r="C9" s="16" t="inlineStr">
        <is>
          <t>Reject BUSINESS customer without TIN (BR-PARTY-04)</t>
        </is>
      </c>
      <c r="D9" s="17" t="inlineStr">
        <is>
          <t>Negative</t>
        </is>
      </c>
      <c r="E9" s="17" t="inlineStr">
        <is>
          <t>High</t>
        </is>
      </c>
      <c r="F9" s="16" t="inlineStr">
        <is>
          <t>Logged in as ORG_ADMIN.</t>
        </is>
      </c>
      <c r="G9" s="16" t="inlineStr">
        <is>
          <t>1. Open create form; party type=Business; leave TIN blank; displayName='No-TIN Ltd'.
2. Submit.
3. If UI is bypassed, call POST /api/v1/customers with partyType=BUSINESS, tin=null.</t>
        </is>
      </c>
      <c r="H9" s="16" t="inlineStr">
        <is>
          <t>partyType=BUSINESS, tin=null.</t>
        </is>
      </c>
      <c r="I9" s="16" t="inlineStr">
        <is>
          <t>UI blocks with 'A business party must have a TIN'. API returns HTTP 400 with BR-PARTY-04 message in errors[]. Whitespace-only TIN also rejected.</t>
        </is>
      </c>
      <c r="J9" s="16" t="inlineStr">
        <is>
          <t>POST /api/v1/customers</t>
        </is>
      </c>
      <c r="K9" s="16" t="inlineStr">
        <is>
          <t>CUSTOMER.MANAGE</t>
        </is>
      </c>
      <c r="L9" s="16" t="inlineStr"/>
      <c r="M9" s="17" t="inlineStr">
        <is>
          <t>Not Run</t>
        </is>
      </c>
      <c r="N9" s="17" t="inlineStr"/>
      <c r="O9" s="16" t="inlineStr"/>
      <c r="P9" s="16" t="inlineStr"/>
      <c r="Q9" s="16" t="inlineStr"/>
    </row>
    <row r="10">
      <c r="A10" s="18" t="inlineStr">
        <is>
          <t>CUST-008</t>
        </is>
      </c>
      <c r="B10" s="19" t="inlineStr">
        <is>
          <t>Customers</t>
        </is>
      </c>
      <c r="C10" s="19" t="inlineStr">
        <is>
          <t>Reject VRN when vatRegistered=false (BR-PARTY-06)</t>
        </is>
      </c>
      <c r="D10" s="8" t="inlineStr">
        <is>
          <t>Negative</t>
        </is>
      </c>
      <c r="E10" s="8" t="inlineStr">
        <is>
          <t>Medium</t>
        </is>
      </c>
      <c r="F10" s="19" t="inlineStr">
        <is>
          <t>Logged in as ORG_ADMIN.</t>
        </is>
      </c>
      <c r="G10" s="19" t="inlineStr">
        <is>
          <t>1. POST /api/v1/customers with vatRegistered=false, vrn='40-9999'.
2. In the UI, verify unchecking VAT clears the VRN field and prevents submission with a VRN.</t>
        </is>
      </c>
      <c r="H10" s="19" t="inlineStr">
        <is>
          <t>vatRegistered=false, vrn='40-9999'.</t>
        </is>
      </c>
      <c r="I10" s="19" t="inlineStr">
        <is>
          <t>HTTP 400. Message 'VRN may only be set when the customer is VAT-registered (BR-PARTY-06)'. UI prevents this combination by clearing VRN when VAT is unchecked.</t>
        </is>
      </c>
      <c r="J10" s="19" t="inlineStr">
        <is>
          <t>POST /api/v1/customers</t>
        </is>
      </c>
      <c r="K10" s="19" t="inlineStr">
        <is>
          <t>CUSTOMER.MANAGE</t>
        </is>
      </c>
      <c r="L10" s="19" t="inlineStr"/>
      <c r="M10" s="8" t="inlineStr">
        <is>
          <t>Not Run</t>
        </is>
      </c>
      <c r="N10" s="8" t="inlineStr"/>
      <c r="O10" s="19" t="inlineStr"/>
      <c r="P10" s="19" t="inlineStr"/>
      <c r="Q10" s="19" t="inlineStr"/>
    </row>
    <row r="11">
      <c r="A11" s="15" t="inlineStr">
        <is>
          <t>CUST-009</t>
        </is>
      </c>
      <c r="B11" s="16" t="inlineStr">
        <is>
          <t>Customers</t>
        </is>
      </c>
      <c r="C11" s="16" t="inlineStr">
        <is>
          <t>Credit fields hidden for CASH_WALK_IN, shown for CREDIT_ACCOUNT</t>
        </is>
      </c>
      <c r="D11" s="17" t="inlineStr">
        <is>
          <t>Positive</t>
        </is>
      </c>
      <c r="E11" s="17" t="inlineStr">
        <is>
          <t>High</t>
        </is>
      </c>
      <c r="F11" s="16" t="inlineStr">
        <is>
          <t>An existing CASH_WALK_IN customer. Logged in as ORG_ADMIN.</t>
        </is>
      </c>
      <c r="G11" s="16" t="inlineStr">
        <is>
          <t>1. Open /admin/customers/uid/:uid for a CASH_WALK_IN customer.
2. Confirm Credit Limit and Payment Terms fields are NOT shown.
3. Change kind to Credit Account; confirm fields appear.
4. Change back to Cash/Walk-in; confirm fields hide.</t>
        </is>
      </c>
      <c r="H11" s="16" t="inlineStr">
        <is>
          <t>Existing CASH_WALK_IN customer.</t>
        </is>
      </c>
      <c r="I11" s="16" t="inlineStr">
        <is>
          <t>Fields are conditionally shown based on customerKind. Switching to cash clears credit data on save. No half-credit-pair sent.</t>
        </is>
      </c>
      <c r="J11" s="16" t="inlineStr">
        <is>
          <t>/admin/customers/uid/:uid | PUT /api/v1/customers/uid/{uid}</t>
        </is>
      </c>
      <c r="K11" s="16" t="inlineStr">
        <is>
          <t>CUSTOMER.MANAGE</t>
        </is>
      </c>
      <c r="L11" s="16" t="inlineStr"/>
      <c r="M11" s="17" t="inlineStr">
        <is>
          <t>Not Run</t>
        </is>
      </c>
      <c r="N11" s="17" t="inlineStr"/>
      <c r="O11" s="16" t="inlineStr"/>
      <c r="P11" s="16" t="inlineStr"/>
      <c r="Q11" s="16" t="inlineStr"/>
    </row>
    <row r="12">
      <c r="A12" s="18" t="inlineStr">
        <is>
          <t>CUST-010</t>
        </is>
      </c>
      <c r="B12" s="19" t="inlineStr">
        <is>
          <t>Customers</t>
        </is>
      </c>
      <c r="C12" s="19" t="inlineStr">
        <is>
          <t>VIEW-only role: no create/edit/archive affordances</t>
        </is>
      </c>
      <c r="D12" s="8" t="inlineStr">
        <is>
          <t>Permission</t>
        </is>
      </c>
      <c r="E12" s="8" t="inlineStr">
        <is>
          <t>High</t>
        </is>
      </c>
      <c r="F12" s="19" t="inlineStr">
        <is>
          <t>A custom role user with CUSTOMER.VIEW only (no CUSTOMER.MANAGE).</t>
        </is>
      </c>
      <c r="G12" s="19" t="inlineStr">
        <is>
          <t>1. Log in as view-only user.
2. Navigate to /admin/customers: list renders but 'New Customer' button is hidden.
3. Open a detail: Save and Archive controls are hidden.
4. Attempt POST /api/v1/customers directly.
5. Attempt PUT /api/v1/customers/uid/{uid}/archive directly.</t>
        </is>
      </c>
      <c r="H12" s="19" t="inlineStr">
        <is>
          <t>Custom role: CUSTOMER.VIEW only.</t>
        </is>
      </c>
      <c r="I12" s="19" t="inlineStr">
        <is>
          <t>List and detail readable. All mutation buttons hidden (canManage=false). Direct POST and archive PUT return HTTP 403.</t>
        </is>
      </c>
      <c r="J12" s="19" t="inlineStr">
        <is>
          <t>/admin/customers | /admin/customers/uid/:uid | POST /api/v1/customers | PUT /api/v1/customers/uid/{uid}/archive</t>
        </is>
      </c>
      <c r="K12" s="19" t="inlineStr">
        <is>
          <t>CUSTOMER.VIEW (denied CUSTOMER.MANAGE)</t>
        </is>
      </c>
      <c r="L12" s="19" t="inlineStr"/>
      <c r="M12" s="8" t="inlineStr">
        <is>
          <t>Not Run</t>
        </is>
      </c>
      <c r="N12" s="8" t="inlineStr"/>
      <c r="O12" s="19" t="inlineStr"/>
      <c r="P12" s="19" t="inlineStr"/>
      <c r="Q12" s="19" t="inlineStr"/>
    </row>
    <row r="13">
      <c r="A13" s="15" t="inlineStr">
        <is>
          <t>CUST-011</t>
        </is>
      </c>
      <c r="B13" s="16" t="inlineStr">
        <is>
          <t>Customers</t>
        </is>
      </c>
      <c r="C13" s="16" t="inlineStr">
        <is>
          <t>Archive then restore a customer (ACTIVE → ARCHIVED → ACTIVE)</t>
        </is>
      </c>
      <c r="D13" s="17" t="inlineStr">
        <is>
          <t>Positive</t>
        </is>
      </c>
      <c r="E13" s="17" t="inlineStr">
        <is>
          <t>High</t>
        </is>
      </c>
      <c r="F13" s="16" t="inlineStr">
        <is>
          <t>An ACTIVE customer. Logged in as ORG_ADMIN.</t>
        </is>
      </c>
      <c r="G13" s="16" t="inlineStr">
        <is>
          <t>1. Open an ACTIVE customer; click Archive.
2. Verify status badge shows ARCHIVED. HTTP 204.
3. Click Restore.
4. Verify status badge shows ACTIVE. HTTP 204.</t>
        </is>
      </c>
      <c r="H13" s="16" t="inlineStr">
        <is>
          <t>Any existing ACTIVE customer.</t>
        </is>
      </c>
      <c r="I13" s="16" t="inlineStr">
        <is>
          <t>HTTP 204 each. Soft-delete (status flip, record retained). Audit events CUSTOMER_ARCHIVE and CUSTOMER_RESTORE recorded. Re-archiving an already-ARCHIVED customer is idempotent.</t>
        </is>
      </c>
      <c r="J13" s="16" t="inlineStr">
        <is>
          <t>PUT /api/v1/customers/uid/{uid}/archive | PUT /api/v1/customers/uid/{uid}/restore</t>
        </is>
      </c>
      <c r="K13" s="16" t="inlineStr">
        <is>
          <t>CUSTOMER.MANAGE</t>
        </is>
      </c>
      <c r="L13" s="16" t="inlineStr"/>
      <c r="M13" s="17" t="inlineStr">
        <is>
          <t>Not Run</t>
        </is>
      </c>
      <c r="N13" s="17" t="inlineStr"/>
      <c r="O13" s="16" t="inlineStr"/>
      <c r="P13" s="16" t="inlineStr"/>
      <c r="Q13" s="16" t="inlineStr"/>
    </row>
    <row r="14">
      <c r="A14" s="18" t="inlineStr">
        <is>
          <t>CUST-012</t>
        </is>
      </c>
      <c r="B14" s="19" t="inlineStr">
        <is>
          <t>Customers</t>
        </is>
      </c>
      <c r="C14" s="19" t="inlineStr">
        <is>
          <t>Assign customer to branch (same company); duplicate rejected; cross-company denied</t>
        </is>
      </c>
      <c r="D14" s="8" t="inlineStr">
        <is>
          <t>Positive</t>
        </is>
      </c>
      <c r="E14" s="8" t="inlineStr">
        <is>
          <t>High</t>
        </is>
      </c>
      <c r="F14" s="19" t="inlineStr">
        <is>
          <t>Customer in Company A. Company A has at least 2 branches. Logged in as ORG_ADMIN.</t>
        </is>
      </c>
      <c r="G14" s="19" t="inlineStr">
        <is>
          <t>1. Open customer detail; Branch Associations panel.
2. Select company by name, then select branch by 'code — name'; click Assign. HTTP 201.
3. Assign the same branch again. Expect 409.
4. Via API, POST with a Company-B branch uid. Expect 403.</t>
        </is>
      </c>
      <c r="H14" s="19" t="inlineStr">
        <is>
          <t>Branch 'BR-02 — Mwanza'. Company-B branch uid for negative test.</t>
        </is>
      </c>
      <c r="I14" s="19" t="inlineStr">
        <is>
          <t>Step 2: HTTP 201; association row shows 'code — name'. Step 3: HTTP 409 'already associated'. Step 4: HTTP 403 (BR-PARTY-01). Branch uid is never typed by the user — selected from dropdown.</t>
        </is>
      </c>
      <c r="J14" s="19" t="inlineStr">
        <is>
          <t>POST /api/v1/customers/uid/{uid}/branches | DELETE /api/v1/customers/uid/{uid}/branches/{branchUid}</t>
        </is>
      </c>
      <c r="K14" s="19" t="inlineStr">
        <is>
          <t>PARTY.BRANCH.ASSIGN</t>
        </is>
      </c>
      <c r="L14" s="19" t="inlineStr"/>
      <c r="M14" s="8" t="inlineStr">
        <is>
          <t>Not Run</t>
        </is>
      </c>
      <c r="N14" s="8" t="inlineStr"/>
      <c r="O14" s="19" t="inlineStr"/>
      <c r="P14" s="19" t="inlineStr"/>
      <c r="Q14" s="19" t="inlineStr"/>
    </row>
    <row r="15">
      <c r="A15" s="15" t="inlineStr">
        <is>
          <t>CUST-013</t>
        </is>
      </c>
      <c r="B15" s="16" t="inlineStr">
        <is>
          <t>Customers</t>
        </is>
      </c>
      <c r="C15" s="16" t="inlineStr">
        <is>
          <t>Cross-tenant customer list isolation (company A cannot see company B rows)</t>
        </is>
      </c>
      <c r="D15" s="17" t="inlineStr">
        <is>
          <t>Negative</t>
        </is>
      </c>
      <c r="E15" s="17" t="inlineStr">
        <is>
          <t>High</t>
        </is>
      </c>
      <c r="F15" s="16" t="inlineStr">
        <is>
          <t>Two companies A and B. Logged in as ORG_ADMIN of Company A.</t>
        </is>
      </c>
      <c r="G15" s="16" t="inlineStr">
        <is>
          <t>1. GET /api/v1/customers?companyId=&lt;B-id&gt; as Company A admin.
2. Attempt GET /api/v1/customers/uid/&lt;B-customer-uid&gt; as Company A admin.</t>
        </is>
      </c>
      <c r="H15" s="16" t="inlineStr">
        <is>
          <t>Company B's companyId and a known customer uid belonging to Company B.</t>
        </is>
      </c>
      <c r="I15" s="16" t="inlineStr">
        <is>
          <t>Both requests return HTTP 403 (ScopeGuard.assertCanActIn blocks before querying). Company B rows never appear in Company A's list.</t>
        </is>
      </c>
      <c r="J15" s="16" t="inlineStr">
        <is>
          <t>GET /api/v1/customers | GET /api/v1/customers/uid/{uid}</t>
        </is>
      </c>
      <c r="K15" s="16" t="inlineStr">
        <is>
          <t>CUSTOMER.VIEW</t>
        </is>
      </c>
      <c r="L15" s="16" t="inlineStr"/>
      <c r="M15" s="17" t="inlineStr">
        <is>
          <t>Not Run</t>
        </is>
      </c>
      <c r="N15" s="17" t="inlineStr"/>
      <c r="O15" s="16" t="inlineStr"/>
      <c r="P15" s="16" t="inlineStr"/>
      <c r="Q15" s="16" t="inlineStr"/>
    </row>
    <row r="16">
      <c r="A16" s="18" t="inlineStr">
        <is>
          <t>SUPP-001</t>
        </is>
      </c>
      <c r="B16" s="19" t="inlineStr">
        <is>
          <t>Suppliers</t>
        </is>
      </c>
      <c r="C16" s="19" t="inlineStr">
        <is>
          <t>Create GOODS supplier (BUSINESS) — happy path</t>
        </is>
      </c>
      <c r="D16" s="8" t="inlineStr">
        <is>
          <t>Positive</t>
        </is>
      </c>
      <c r="E16" s="8" t="inlineStr">
        <is>
          <t>High</t>
        </is>
      </c>
      <c r="F16" s="19" t="inlineStr">
        <is>
          <t>Logged in as ORG_ADMIN. Active company selected.</t>
        </is>
      </c>
      <c r="G16" s="19" t="inlineStr">
        <is>
          <t>1. Navigate to /admin/suppliers; click 'New Supplier'.
2. Party type=Business, TIN=200300400, kind=Goods, displayName='Bulk Supplies Ltd'. Submit.</t>
        </is>
      </c>
      <c r="H16" s="19" t="inlineStr">
        <is>
          <t>displayName='Bulk Supplies Ltd', partyType=BUSINESS, supplierKind=GOODS, tin=200300400.</t>
        </is>
      </c>
      <c r="I16" s="19" t="inlineStr">
        <is>
          <t>HTTP 201. Status ACTIVE. Code SUPP-#### assigned. Row appears. Business-without-TIN attempt returns HTTP 400 with BR-PARTY-04 message.</t>
        </is>
      </c>
      <c r="J16" s="19" t="inlineStr">
        <is>
          <t>/admin/suppliers | POST /api/v1/suppliers</t>
        </is>
      </c>
      <c r="K16" s="19" t="inlineStr">
        <is>
          <t>SUPPLIER.MANAGE</t>
        </is>
      </c>
      <c r="L16" s="19" t="inlineStr"/>
      <c r="M16" s="8" t="inlineStr">
        <is>
          <t>Not Run</t>
        </is>
      </c>
      <c r="N16" s="8" t="inlineStr"/>
      <c r="O16" s="19" t="inlineStr"/>
      <c r="P16" s="19" t="inlineStr"/>
      <c r="Q16" s="19" t="inlineStr"/>
    </row>
    <row r="17">
      <c r="A17" s="15" t="inlineStr">
        <is>
          <t>SUPP-002</t>
        </is>
      </c>
      <c r="B17" s="16" t="inlineStr">
        <is>
          <t>Suppliers</t>
        </is>
      </c>
      <c r="C17" s="16" t="inlineStr">
        <is>
          <t>Create SERVICE supplier (INDIVIDUAL) — happy path</t>
        </is>
      </c>
      <c r="D17" s="17" t="inlineStr">
        <is>
          <t>Positive</t>
        </is>
      </c>
      <c r="E17" s="17" t="inlineStr">
        <is>
          <t>Medium</t>
        </is>
      </c>
      <c r="F17" s="16" t="inlineStr">
        <is>
          <t>Logged in as ORG_ADMIN. Active company selected.</t>
        </is>
      </c>
      <c r="G17" s="16" t="inlineStr">
        <is>
          <t>1. Open create; party type=Individual, kind=Service, displayName='John Consulting'. Submit.</t>
        </is>
      </c>
      <c r="H17" s="16" t="inlineStr">
        <is>
          <t>displayName='John Consulting', partyType=INDIVIDUAL, supplierKind=SERVICE.</t>
        </is>
      </c>
      <c r="I17" s="16" t="inlineStr">
        <is>
          <t>HTTP 201. supplierKind=SERVICE persisted and displayed. Code SUPP-#### assigned. status=ACTIVE.</t>
        </is>
      </c>
      <c r="J17" s="16" t="inlineStr">
        <is>
          <t>POST /api/v1/suppliers</t>
        </is>
      </c>
      <c r="K17" s="16" t="inlineStr">
        <is>
          <t>SUPPLIER.MANAGE</t>
        </is>
      </c>
      <c r="L17" s="16" t="inlineStr"/>
      <c r="M17" s="17" t="inlineStr">
        <is>
          <t>Not Run</t>
        </is>
      </c>
      <c r="N17" s="17" t="inlineStr"/>
      <c r="O17" s="16" t="inlineStr"/>
      <c r="P17" s="16" t="inlineStr"/>
      <c r="Q17" s="16" t="inlineStr"/>
    </row>
    <row r="18">
      <c r="A18" s="18" t="inlineStr">
        <is>
          <t>SUPP-003</t>
        </is>
      </c>
      <c r="B18" s="19" t="inlineStr">
        <is>
          <t>Suppliers</t>
        </is>
      </c>
      <c r="C18" s="19" t="inlineStr">
        <is>
          <t>Archive / restore supplier; VIEW-only denied writes</t>
        </is>
      </c>
      <c r="D18" s="8" t="inlineStr">
        <is>
          <t>Positive</t>
        </is>
      </c>
      <c r="E18" s="8" t="inlineStr">
        <is>
          <t>High</t>
        </is>
      </c>
      <c r="F18" s="19" t="inlineStr">
        <is>
          <t>An ACTIVE supplier. ORG_ADMIN and a view-only custom role user available.</t>
        </is>
      </c>
      <c r="G18" s="19" t="inlineStr">
        <is>
          <t>1. As ORG_ADMIN: archive the supplier (HTTP 204); restore it (HTTP 204).
2. As view-only user: confirm archive/restore buttons are hidden.
3. Attempt PUT /api/v1/suppliers/uid/{uid}/archive as view-only user.</t>
        </is>
      </c>
      <c r="H18" s="19" t="inlineStr">
        <is>
          <t>Any ACTIVE supplier.</t>
        </is>
      </c>
      <c r="I18" s="19" t="inlineStr">
        <is>
          <t>Archive and restore succeed for ORG_ADMIN (204 each). View-only user sees no buttons; direct API returns 403.</t>
        </is>
      </c>
      <c r="J18" s="19" t="inlineStr">
        <is>
          <t>PUT /api/v1/suppliers/uid/{uid}/archive | PUT /api/v1/suppliers/uid/{uid}/restore</t>
        </is>
      </c>
      <c r="K18" s="19" t="inlineStr">
        <is>
          <t>SUPPLIER.MANAGE</t>
        </is>
      </c>
      <c r="L18" s="19" t="inlineStr"/>
      <c r="M18" s="8" t="inlineStr">
        <is>
          <t>Not Run</t>
        </is>
      </c>
      <c r="N18" s="8" t="inlineStr"/>
      <c r="O18" s="19" t="inlineStr"/>
      <c r="P18" s="19" t="inlineStr"/>
      <c r="Q18" s="19" t="inlineStr"/>
    </row>
    <row r="19">
      <c r="A19" s="15" t="inlineStr">
        <is>
          <t>AGNT-001</t>
        </is>
      </c>
      <c r="B19" s="16" t="inlineStr">
        <is>
          <t>Sales Agents</t>
        </is>
      </c>
      <c r="C19" s="16" t="inlineStr">
        <is>
          <t>Create EXTERNAL agent (no user link)</t>
        </is>
      </c>
      <c r="D19" s="17" t="inlineStr">
        <is>
          <t>Positive</t>
        </is>
      </c>
      <c r="E19" s="17" t="inlineStr">
        <is>
          <t>High</t>
        </is>
      </c>
      <c r="F19" s="16" t="inlineStr">
        <is>
          <t>Logged in as ORG_ADMIN. Active company selected.</t>
        </is>
      </c>
      <c r="G19" s="16" t="inlineStr">
        <is>
          <t>1. Navigate to /admin/agents; click 'New Agent'.
2. Kind=External, displayName='Field Rep Co', partyType=Individual. Submit.</t>
        </is>
      </c>
      <c r="H19" s="16" t="inlineStr">
        <is>
          <t>agentKind=EXTERNAL, displayName='Field Rep Co'.</t>
        </is>
      </c>
      <c r="I19" s="16" t="inlineStr">
        <is>
          <t>HTTP 201. appUserId=null (service forces null for EXTERNAL). Code AGNT-#### assigned. User selector not shown for EXTERNAL. status=ACTIVE.</t>
        </is>
      </c>
      <c r="J19" s="16" t="inlineStr">
        <is>
          <t>/admin/agents | POST /api/v1/agents</t>
        </is>
      </c>
      <c r="K19" s="16" t="inlineStr">
        <is>
          <t>AGENT.MANAGE</t>
        </is>
      </c>
      <c r="L19" s="16" t="inlineStr"/>
      <c r="M19" s="17" t="inlineStr">
        <is>
          <t>Not Run</t>
        </is>
      </c>
      <c r="N19" s="17" t="inlineStr"/>
      <c r="O19" s="16" t="inlineStr"/>
      <c r="P19" s="16" t="inlineStr"/>
      <c r="Q19" s="16" t="inlineStr"/>
    </row>
    <row r="20">
      <c r="A20" s="18" t="inlineStr">
        <is>
          <t>AGNT-002</t>
        </is>
      </c>
      <c r="B20" s="19" t="inlineStr">
        <is>
          <t>Sales Agents</t>
        </is>
      </c>
      <c r="C20" s="19" t="inlineStr">
        <is>
          <t>Create INTERNAL agent linked to an ACTIVE company user</t>
        </is>
      </c>
      <c r="D20" s="8" t="inlineStr">
        <is>
          <t>Positive</t>
        </is>
      </c>
      <c r="E20" s="8" t="inlineStr">
        <is>
          <t>High</t>
        </is>
      </c>
      <c r="F20" s="19" t="inlineStr">
        <is>
          <t>An ACTIVE non-root user (SALES_REP) in Company A. Logged in as ORG_ADMIN.</t>
        </is>
      </c>
      <c r="G20" s="19" t="inlineStr">
        <is>
          <t>1. Open agent detail or create form; set kind=Internal.
2. A user selector appears. Choose the SALES_REP user by name.
3. Save.</t>
        </is>
      </c>
      <c r="H20" s="19" t="inlineStr">
        <is>
          <t>agentKind=INTERNAL, appUserId=&lt;SALES_REP id resolved from picker&gt;.</t>
        </is>
      </c>
      <c r="I20" s="19" t="inlineStr">
        <is>
          <t>HTTP 200/201. appUserId persisted. Agent shows linked user name. User selected by NAME via selector, id stored under the hood.</t>
        </is>
      </c>
      <c r="J20" s="19" t="inlineStr">
        <is>
          <t>POST /api/v1/agents | PUT /api/v1/agents/uid/{uid}</t>
        </is>
      </c>
      <c r="K20" s="19" t="inlineStr">
        <is>
          <t>AGENT.MANAGE</t>
        </is>
      </c>
      <c r="L20" s="19" t="inlineStr"/>
      <c r="M20" s="8" t="inlineStr">
        <is>
          <t>Not Run</t>
        </is>
      </c>
      <c r="N20" s="8" t="inlineStr"/>
      <c r="O20" s="19" t="inlineStr"/>
      <c r="P20" s="19" t="inlineStr"/>
      <c r="Q20" s="19" t="inlineStr"/>
    </row>
    <row r="21">
      <c r="A21" s="15" t="inlineStr">
        <is>
          <t>AGNT-003</t>
        </is>
      </c>
      <c r="B21" s="16" t="inlineStr">
        <is>
          <t>Sales Agents</t>
        </is>
      </c>
      <c r="C21" s="16" t="inlineStr">
        <is>
          <t>Reject INTERNAL agent with no user, inactive user, root user, or wrong-company user</t>
        </is>
      </c>
      <c r="D21" s="17" t="inlineStr">
        <is>
          <t>Negative</t>
        </is>
      </c>
      <c r="E21" s="17" t="inlineStr">
        <is>
          <t>High</t>
        </is>
      </c>
      <c r="F21" s="16" t="inlineStr">
        <is>
          <t>Logged in as ORG_ADMIN.</t>
        </is>
      </c>
      <c r="G21" s="16" t="inlineStr">
        <is>
          <t>1. POST agent kind=INTERNAL without appUserId → expect 400 (BR-PARTY-10).
2. POST with appUserId of an INACTIVE user → expect 400.
3. POST with appUserId of rootadmin → expect 400.
4. POST with appUserId of a Company-B user → expect 400.</t>
        </is>
      </c>
      <c r="H21" s="16" t="inlineStr">
        <is>
          <t>Various invalid appUserId values.</t>
        </is>
      </c>
      <c r="I21" s="16" t="inlineStr">
        <is>
          <t>All four attempts return HTTP 400 with 'internal agent must reference an ACTIVE non-root user belonging to the agent's company (BR-PARTY-10)'. DB chk_agent_user_kind is the backstop.</t>
        </is>
      </c>
      <c r="J21" s="16" t="inlineStr">
        <is>
          <t>POST /api/v1/agents | PUT /api/v1/agents/uid/{uid}</t>
        </is>
      </c>
      <c r="K21" s="16" t="inlineStr">
        <is>
          <t>AGENT.MANAGE</t>
        </is>
      </c>
      <c r="L21" s="16" t="inlineStr"/>
      <c r="M21" s="17" t="inlineStr">
        <is>
          <t>Not Run</t>
        </is>
      </c>
      <c r="N21" s="17" t="inlineStr"/>
      <c r="O21" s="16" t="inlineStr"/>
      <c r="P21" s="16" t="inlineStr"/>
      <c r="Q21" s="16" t="inlineStr"/>
    </row>
    <row r="22">
      <c r="A22" s="18" t="inlineStr">
        <is>
          <t>AGNT-004</t>
        </is>
      </c>
      <c r="B22" s="19" t="inlineStr">
        <is>
          <t>Sales Agents</t>
        </is>
      </c>
      <c r="C22" s="19" t="inlineStr">
        <is>
          <t>Switch INTERNAL agent to EXTERNAL clears user link</t>
        </is>
      </c>
      <c r="D22" s="8" t="inlineStr">
        <is>
          <t>Positive</t>
        </is>
      </c>
      <c r="E22" s="8" t="inlineStr">
        <is>
          <t>Medium</t>
        </is>
      </c>
      <c r="F22" s="19" t="inlineStr">
        <is>
          <t>An INTERNAL agent linked to a user. Logged in as ORG_ADMIN.</t>
        </is>
      </c>
      <c r="G22" s="19" t="inlineStr">
        <is>
          <t>1. Open agent detail; change kind to External (user selector disappears). Save.</t>
        </is>
      </c>
      <c r="H22" s="19" t="inlineStr">
        <is>
          <t>Existing INTERNAL agent with a user link.</t>
        </is>
      </c>
      <c r="I22" s="19" t="inlineStr">
        <is>
          <t>HTTP 200. appUserId set to null for EXTERNAL. Agent no longer shows a user link. Switching EXTERNAL back to INTERNAL without selecting a user returns 400 (BR-PARTY-10).</t>
        </is>
      </c>
      <c r="J22" s="19" t="inlineStr">
        <is>
          <t>PUT /api/v1/agents/uid/{uid}</t>
        </is>
      </c>
      <c r="K22" s="19" t="inlineStr">
        <is>
          <t>AGENT.MANAGE</t>
        </is>
      </c>
      <c r="L22" s="19" t="inlineStr"/>
      <c r="M22" s="8" t="inlineStr">
        <is>
          <t>Not Run</t>
        </is>
      </c>
      <c r="N22" s="8" t="inlineStr"/>
      <c r="O22" s="19" t="inlineStr"/>
      <c r="P22" s="19" t="inlineStr"/>
      <c r="Q22" s="19" t="inlineStr"/>
    </row>
    <row r="23">
      <c r="A23" s="15" t="inlineStr">
        <is>
          <t>OPTY-001</t>
        </is>
      </c>
      <c r="B23" s="16" t="inlineStr">
        <is>
          <t>Other Parties</t>
        </is>
      </c>
      <c r="C23" s="16" t="inlineStr">
        <is>
          <t>Create other party with free-text otherKind</t>
        </is>
      </c>
      <c r="D23" s="17" t="inlineStr">
        <is>
          <t>Positive</t>
        </is>
      </c>
      <c r="E23" s="17" t="inlineStr">
        <is>
          <t>Medium</t>
        </is>
      </c>
      <c r="F23" s="16" t="inlineStr">
        <is>
          <t>Logged in as ORG_ADMIN. Active company selected.</t>
        </is>
      </c>
      <c r="G23" s="16" t="inlineStr">
        <is>
          <t>1. Navigate to /admin/other-parties; click 'New Other Party'.
2. PartyType=Business, TIN=300400500, otherKind='Landlord', displayName='City Properties'. Submit.</t>
        </is>
      </c>
      <c r="H23" s="16" t="inlineStr">
        <is>
          <t>partyType=BUSINESS, tin=300400500, otherKind='Landlord', displayName='City Properties'.</t>
        </is>
      </c>
      <c r="I23" s="16" t="inlineStr">
        <is>
          <t>HTTP 201. otherKind stored verbatim (no enum validation). Code OTHR-#### assigned. status=ACTIVE. otherKind blank is also allowed (nullable).</t>
        </is>
      </c>
      <c r="J23" s="16" t="inlineStr">
        <is>
          <t>POST /api/v1/other-parties</t>
        </is>
      </c>
      <c r="K23" s="16" t="inlineStr">
        <is>
          <t>OTHERPARTY.MANAGE</t>
        </is>
      </c>
      <c r="L23" s="16" t="inlineStr"/>
      <c r="M23" s="17" t="inlineStr">
        <is>
          <t>Not Run</t>
        </is>
      </c>
      <c r="N23" s="17" t="inlineStr"/>
      <c r="O23" s="16" t="inlineStr"/>
      <c r="P23" s="16" t="inlineStr"/>
      <c r="Q23" s="16" t="inlineStr"/>
    </row>
    <row r="24">
      <c r="A24" s="18" t="inlineStr">
        <is>
          <t>CUST-014</t>
        </is>
      </c>
      <c r="B24" s="19" t="inlineStr">
        <is>
          <t>Customers</t>
        </is>
      </c>
      <c r="C24" s="19" t="inlineStr">
        <is>
          <t>Customer detail page axe-core check (WCAG 2.1 AA gate)</t>
        </is>
      </c>
      <c r="D24" s="8" t="inlineStr">
        <is>
          <t>Positive</t>
        </is>
      </c>
      <c r="E24" s="8" t="inlineStr">
        <is>
          <t>High</t>
        </is>
      </c>
      <c r="F24" s="19" t="inlineStr">
        <is>
          <t>A CREDIT_ACCOUNT BUSINESS customer with branch association. Logged in as ORG_ADMIN.</t>
        </is>
      </c>
      <c r="G24" s="19" t="inlineStr">
        <is>
          <t>1. Navigate to /admin/customers/uid/:uid.
2. Run axe-core on the rendered page.
3. Verify zero critical/serious violations.</t>
        </is>
      </c>
      <c r="H24" s="19" t="inlineStr">
        <is>
          <t>Customer with creditLimit, paymentTermsDays, and branches populated.</t>
        </is>
      </c>
      <c r="I24" s="19" t="inlineStr">
        <is>
          <t>Zero critical/serious axe violations. All form controls labelled; panel headings have correct h-tag hierarchy; status badge has text not colour only.</t>
        </is>
      </c>
      <c r="J24" s="19" t="inlineStr">
        <is>
          <t>/admin/customers/uid/:uid</t>
        </is>
      </c>
      <c r="K24" s="19" t="inlineStr">
        <is>
          <t>CUSTOMER.VIEW</t>
        </is>
      </c>
      <c r="L24" s="19" t="inlineStr"/>
      <c r="M24" s="8" t="inlineStr">
        <is>
          <t>Not Run</t>
        </is>
      </c>
      <c r="N24" s="8" t="inlineStr"/>
      <c r="O24" s="19" t="inlineStr"/>
      <c r="P24" s="19" t="inlineStr"/>
      <c r="Q24" s="19" t="inlineStr"/>
    </row>
    <row r="25">
      <c r="A25" s="15" t="inlineStr">
        <is>
          <t>AGNT-005</t>
        </is>
      </c>
      <c r="B25" s="16" t="inlineStr">
        <is>
          <t>Sales Agents</t>
        </is>
      </c>
      <c r="C25" s="16" t="inlineStr">
        <is>
          <t>Agent list: axe-core check; VIEW-only no write controls; ORG_ADMIN sees create button</t>
        </is>
      </c>
      <c r="D25" s="17" t="inlineStr">
        <is>
          <t>Positive</t>
        </is>
      </c>
      <c r="E25" s="17" t="inlineStr">
        <is>
          <t>Medium</t>
        </is>
      </c>
      <c r="F25" s="16" t="inlineStr">
        <is>
          <t>Company with 3+ agents. ORG_ADMIN and AGENT.VIEW-only custom role. Logged in.</t>
        </is>
      </c>
      <c r="G25" s="16" t="inlineStr">
        <is>
          <t>1. As ORG_ADMIN: navigate to /admin/agents; run axe-core; confirm 'New Agent' button present.
2. As VIEW-only: confirm button absent; direct POST returns 403.</t>
        </is>
      </c>
      <c r="H25" s="16" t="inlineStr">
        <is>
          <t>3+ agents. VIEW-only custom role.</t>
        </is>
      </c>
      <c r="I25" s="16" t="inlineStr">
        <is>
          <t>axe clean. ORG_ADMIN: write button visible. VIEW-only: button hidden, API 403.</t>
        </is>
      </c>
      <c r="J25" s="16" t="inlineStr">
        <is>
          <t>/admin/agents | GET /api/v1/agents</t>
        </is>
      </c>
      <c r="K25" s="16" t="inlineStr">
        <is>
          <t>AGENT.VIEW | AGENT.MANAGE</t>
        </is>
      </c>
      <c r="L25" s="16" t="inlineStr"/>
      <c r="M25" s="17" t="inlineStr">
        <is>
          <t>Not Run</t>
        </is>
      </c>
      <c r="N25" s="17" t="inlineStr"/>
      <c r="O25" s="16" t="inlineStr"/>
      <c r="P25" s="16" t="inlineStr"/>
      <c r="Q25" s="16" t="inlineStr"/>
    </row>
    <row r="26">
      <c r="A26" s="18" t="inlineStr">
        <is>
          <t>OPTY-002</t>
        </is>
      </c>
      <c r="B26" s="19" t="inlineStr">
        <is>
          <t>Other Parties</t>
        </is>
      </c>
      <c r="C26" s="19" t="inlineStr">
        <is>
          <t>Other party MANAGE vs VIEW-only; cross-company isolation</t>
        </is>
      </c>
      <c r="D26" s="8" t="inlineStr">
        <is>
          <t>Permission</t>
        </is>
      </c>
      <c r="E26" s="8" t="inlineStr">
        <is>
          <t>Medium</t>
        </is>
      </c>
      <c r="F26" s="19" t="inlineStr">
        <is>
          <t>Company A with 2 other parties. Company B with 1 other party. VIEW-only user in Company A.</t>
        </is>
      </c>
      <c r="G26" s="19" t="inlineStr">
        <is>
          <t>1. VIEW-only user: list loads; no create/archive buttons; direct PUT returns 403.
2. ORG_ADMIN listing Company B: Company A parties not shown.
3. GET /api/v1/other-parties/uid/{B-uid} as Company A user — expect 403.</t>
        </is>
      </c>
      <c r="H26" s="19" t="inlineStr">
        <is>
          <t>Company A and B other-party data.</t>
        </is>
      </c>
      <c r="I26" s="19" t="inlineStr">
        <is>
          <t>VIEW-only: reads OK, writes 403. Cross-tenant GET returns 403. Company A list never includes Company B rows.</t>
        </is>
      </c>
      <c r="J26" s="19" t="inlineStr">
        <is>
          <t>/admin/other-parties | GET/POST/PUT /api/v1/other-parties</t>
        </is>
      </c>
      <c r="K26" s="19" t="inlineStr">
        <is>
          <t>OTHERPARTY.VIEW | OTHERPARTY.MANAGE</t>
        </is>
      </c>
      <c r="L26" s="19" t="inlineStr"/>
      <c r="M26" s="8" t="inlineStr">
        <is>
          <t>Not Run</t>
        </is>
      </c>
      <c r="N26" s="8" t="inlineStr"/>
      <c r="O26" s="19" t="inlineStr"/>
      <c r="P26" s="19" t="inlineStr"/>
      <c r="Q26" s="19" t="inlineStr"/>
    </row>
  </sheetData>
  <autoFilter ref="A2:Q26"/>
  <mergeCells count="1">
    <mergeCell ref="A1:Q1"/>
  </mergeCells>
  <dataValidations count="4">
    <dataValidation sqref="D3:D26" showDropDown="0" showInputMessage="0" showErrorMessage="0" allowBlank="1" type="list">
      <formula1>"Positive,Negative,Permission,Edge"</formula1>
    </dataValidation>
    <dataValidation sqref="E3:E26" showDropDown="0" showInputMessage="0" showErrorMessage="0" allowBlank="1" type="list">
      <formula1>"High,Medium,Low"</formula1>
    </dataValidation>
    <dataValidation sqref="M3:M26" showDropDown="0" showInputMessage="0" showErrorMessage="0" allowBlank="1" type="list">
      <formula1>"Not Run,Pass,Fail,Blocked,N/A"</formula1>
    </dataValidation>
    <dataValidation sqref="N3:N26" showDropDown="0" showInputMessage="0" showErrorMessage="0" allowBlank="1" type="list">
      <formula1>"-,Critical,High,Medium,Low"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2"/>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Masters – Catalog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PROD-001</t>
        </is>
      </c>
      <c r="B3" s="16" t="inlineStr">
        <is>
          <t>Products</t>
        </is>
      </c>
      <c r="C3" s="16" t="inlineStr">
        <is>
          <t>Create GOODS product with auto-assigned code</t>
        </is>
      </c>
      <c r="D3" s="17" t="inlineStr">
        <is>
          <t>Positive</t>
        </is>
      </c>
      <c r="E3" s="17" t="inlineStr">
        <is>
          <t>High</t>
        </is>
      </c>
      <c r="F3" s="16" t="inlineStr">
        <is>
          <t>Active company with at least 1 ACTIVE UoM (e.g. EA — Each). Logged in as ORG_ADMIN.</t>
        </is>
      </c>
      <c r="G3" s="16" t="inlineStr">
        <is>
          <t>1. Navigate to /admin/products; click 'New product'.
2. Leave Code blank; Name='Sugar 1kg'; Type=GOODS; Stockable=checked; Sellable=checked.
3. Select Base Unit 'EA — Each' from the unit dropdown by name.
4. Cost=1000 TZS; VAT Status=STANDARD. Submit.</t>
        </is>
      </c>
      <c r="H3" s="16" t="inlineStr">
        <is>
          <t>name='Sugar 1kg', baseUnit='EA', cost=TZS 1000, vatStatus=STANDARD.</t>
        </is>
      </c>
      <c r="I3" s="16" t="inlineStr">
        <is>
          <t>HTTP 201. New row with system code PROD-####. stockable=true. type=GOODS. status=ACTIVE. Base unit chosen by name — uid not typed.</t>
        </is>
      </c>
      <c r="J3" s="16" t="inlineStr">
        <is>
          <t>/admin/products | POST /api/v1/products</t>
        </is>
      </c>
      <c r="K3" s="16" t="inlineStr">
        <is>
          <t>PRODUCT.MANAGE</t>
        </is>
      </c>
      <c r="L3" s="16" t="inlineStr"/>
      <c r="M3" s="17" t="inlineStr">
        <is>
          <t>Not Run</t>
        </is>
      </c>
      <c r="N3" s="17" t="inlineStr"/>
      <c r="O3" s="16" t="inlineStr"/>
      <c r="P3" s="16" t="inlineStr"/>
      <c r="Q3" s="16" t="inlineStr"/>
    </row>
    <row r="4">
      <c r="A4" s="18" t="inlineStr">
        <is>
          <t>PROD-002</t>
        </is>
      </c>
      <c r="B4" s="19" t="inlineStr">
        <is>
          <t>Products</t>
        </is>
      </c>
      <c r="C4" s="19" t="inlineStr">
        <is>
          <t>Create SERVICE product forces stockable=false (BR-PROD-01)</t>
        </is>
      </c>
      <c r="D4" s="8" t="inlineStr">
        <is>
          <t>Positive</t>
        </is>
      </c>
      <c r="E4" s="8" t="inlineStr">
        <is>
          <t>High</t>
        </is>
      </c>
      <c r="F4" s="19" t="inlineStr">
        <is>
          <t>Active company with at least 1 ACTIVE UoM. Logged in as ORG_ADMIN.</t>
        </is>
      </c>
      <c r="G4" s="19" t="inlineStr">
        <is>
          <t>1. Open product create form.
2. Set Type=SERVICE.
3. Observe Stockable checkbox becomes disabled and unchecked.
4. Fill name='Delivery Service', base unit='EA'. Submit.</t>
        </is>
      </c>
      <c r="H4" s="19" t="inlineStr">
        <is>
          <t>name='Delivery Service', type=SERVICE.</t>
        </is>
      </c>
      <c r="I4" s="19" t="inlineStr">
        <is>
          <t>HTTP 201. type=SERVICE, stockable=false. UI never permits stockable SERVICE. Attempting POST with type=SERVICE, stockable=true directly returns a DB CHECK error.</t>
        </is>
      </c>
      <c r="J4" s="19" t="inlineStr">
        <is>
          <t>POST /api/v1/products</t>
        </is>
      </c>
      <c r="K4" s="19" t="inlineStr">
        <is>
          <t>PRODUCT.MANAGE</t>
        </is>
      </c>
      <c r="L4" s="19" t="inlineStr"/>
      <c r="M4" s="8" t="inlineStr">
        <is>
          <t>Not Run</t>
        </is>
      </c>
      <c r="N4" s="8" t="inlineStr"/>
      <c r="O4" s="19" t="inlineStr"/>
      <c r="P4" s="19" t="inlineStr"/>
      <c r="Q4" s="19" t="inlineStr"/>
    </row>
    <row r="5">
      <c r="A5" s="15" t="inlineStr">
        <is>
          <t>PROD-003</t>
        </is>
      </c>
      <c r="B5" s="16" t="inlineStr">
        <is>
          <t>Products</t>
        </is>
      </c>
      <c r="C5" s="16" t="inlineStr">
        <is>
          <t>Duplicate product code per company rejected</t>
        </is>
      </c>
      <c r="D5" s="17" t="inlineStr">
        <is>
          <t>Negative</t>
        </is>
      </c>
      <c r="E5" s="17" t="inlineStr">
        <is>
          <t>Medium</t>
        </is>
      </c>
      <c r="F5" s="16" t="inlineStr">
        <is>
          <t>Product with code 'SKU-001' already exists in Company A. Logged in as ORG_ADMIN.</t>
        </is>
      </c>
      <c r="G5" s="16" t="inlineStr">
        <is>
          <t>1. Create a second product with code='SKU-001' in the same company. Submit.</t>
        </is>
      </c>
      <c r="H5" s="16" t="inlineStr">
        <is>
          <t>code='SKU-001' (duplicate).</t>
        </is>
      </c>
      <c r="I5" s="16" t="inlineStr">
        <is>
          <t>HTTP 409/constraint error. Duplicate code rejected (uq_product_company_code). Same code in a different company is allowed.</t>
        </is>
      </c>
      <c r="J5" s="16" t="inlineStr">
        <is>
          <t>POST /api/v1/products</t>
        </is>
      </c>
      <c r="K5" s="16" t="inlineStr">
        <is>
          <t>PRODUCT.MANAGE</t>
        </is>
      </c>
      <c r="L5" s="16" t="inlineStr"/>
      <c r="M5" s="17" t="inlineStr">
        <is>
          <t>Not Run</t>
        </is>
      </c>
      <c r="N5" s="17" t="inlineStr"/>
      <c r="O5" s="16" t="inlineStr"/>
      <c r="P5" s="16" t="inlineStr"/>
      <c r="Q5" s="16" t="inlineStr"/>
    </row>
    <row r="6">
      <c r="A6" s="18" t="inlineStr">
        <is>
          <t>PROD-004</t>
        </is>
      </c>
      <c r="B6" s="19" t="inlineStr">
        <is>
          <t>Products</t>
        </is>
      </c>
      <c r="C6" s="19" t="inlineStr">
        <is>
          <t>Archive and restore a product (ACTIVE → ARCHIVED → ACTIVE)</t>
        </is>
      </c>
      <c r="D6" s="8" t="inlineStr">
        <is>
          <t>Positive</t>
        </is>
      </c>
      <c r="E6" s="8" t="inlineStr">
        <is>
          <t>High</t>
        </is>
      </c>
      <c r="F6" s="19" t="inlineStr">
        <is>
          <t>An ACTIVE product. Logged in as ORG_ADMIN.</t>
        </is>
      </c>
      <c r="G6" s="19" t="inlineStr">
        <is>
          <t>1. Open product detail; click Archive. Verify status=ARCHIVED (HTTP 204).
2. Click Restore. Verify status=ACTIVE (HTTP 204).
3. Confirm archived products are excluded from component/base-unit pickers.</t>
        </is>
      </c>
      <c r="H6" s="19" t="inlineStr">
        <is>
          <t>Any ACTIVE product.</t>
        </is>
      </c>
      <c r="I6" s="19" t="inlineStr">
        <is>
          <t>HTTP 204 each. Soft-delete preserved. ARCHIVED products not selectable in recipe-component or BOM pickers (BR-PROD-05).</t>
        </is>
      </c>
      <c r="J6" s="19" t="inlineStr">
        <is>
          <t>PUT /api/v1/products/uid/{uid}/archive | PUT /api/v1/products/uid/{uid}/restore</t>
        </is>
      </c>
      <c r="K6" s="19" t="inlineStr">
        <is>
          <t>PRODUCT.MANAGE</t>
        </is>
      </c>
      <c r="L6" s="19" t="inlineStr"/>
      <c r="M6" s="8" t="inlineStr">
        <is>
          <t>Not Run</t>
        </is>
      </c>
      <c r="N6" s="8" t="inlineStr"/>
      <c r="O6" s="19" t="inlineStr"/>
      <c r="P6" s="19" t="inlineStr"/>
      <c r="Q6" s="19" t="inlineStr"/>
    </row>
    <row r="7">
      <c r="A7" s="15" t="inlineStr">
        <is>
          <t>PROD-005</t>
        </is>
      </c>
      <c r="B7" s="16" t="inlineStr">
        <is>
          <t>Products</t>
        </is>
      </c>
      <c r="C7" s="16" t="inlineStr">
        <is>
          <t>Add bulk pack with conversion factor; reject factor &lt;= 0</t>
        </is>
      </c>
      <c r="D7" s="17" t="inlineStr">
        <is>
          <t>Positive</t>
        </is>
      </c>
      <c r="E7" s="17" t="inlineStr">
        <is>
          <t>High</t>
        </is>
      </c>
      <c r="F7" s="16" t="inlineStr">
        <is>
          <t>Product with base unit EA. An ACTIVE UoM 'CTN' in the same company. Logged in as ORG_ADMIN.</t>
        </is>
      </c>
      <c r="G7" s="16" t="inlineStr">
        <is>
          <t>1. Open product detail; Bulk Packs panel.
2. Select unit 'CTN — Carton' by name; enter factor=24; Add.
3. Attempt Add with factor=0; expect validation error.</t>
        </is>
      </c>
      <c r="H7" s="16" t="inlineStr">
        <is>
          <t>unit=CTN, factorToBase=24. Negative test: factor=0.</t>
        </is>
      </c>
      <c r="I7" s="16" t="inlineStr">
        <is>
          <t>Step 2: HTTP 201; row shows unit+factor. Step 3: 'factorToBase must be greater than zero (BR-PROD-03)' — no call made. API rejects factor&lt;=0 via @DecimalMin 0.000001.</t>
        </is>
      </c>
      <c r="J7" s="16" t="inlineStr">
        <is>
          <t>POST /api/v1/products/uid/{uid}/bulk-packs | DELETE /api/v1/products/uid/{uid}/bulk-packs/{bulkPackUid}</t>
        </is>
      </c>
      <c r="K7" s="16" t="inlineStr">
        <is>
          <t>PRODUCT.MANAGE</t>
        </is>
      </c>
      <c r="L7" s="16" t="inlineStr"/>
      <c r="M7" s="17" t="inlineStr">
        <is>
          <t>Not Run</t>
        </is>
      </c>
      <c r="N7" s="17" t="inlineStr"/>
      <c r="O7" s="16" t="inlineStr"/>
      <c r="P7" s="16" t="inlineStr"/>
      <c r="Q7" s="16" t="inlineStr"/>
    </row>
    <row r="8">
      <c r="A8" s="18" t="inlineStr">
        <is>
          <t>PROD-006</t>
        </is>
      </c>
      <c r="B8" s="19" t="inlineStr">
        <is>
          <t>Products</t>
        </is>
      </c>
      <c r="C8" s="19" t="inlineStr">
        <is>
          <t>Line unit must be product's base or a configured bulk-pack unit (UoM restriction)</t>
        </is>
      </c>
      <c r="D8" s="8" t="inlineStr">
        <is>
          <t>Negative</t>
        </is>
      </c>
      <c r="E8" s="8" t="inlineStr">
        <is>
          <t>High</t>
        </is>
      </c>
      <c r="F8" s="19" t="inlineStr">
        <is>
          <t>Product 'Widget' has base unit EA and one bulk pack CTN (factor 24). Logged in as ORG_ADMIN.</t>
        </is>
      </c>
      <c r="G8" s="19" t="inlineStr">
        <is>
          <t>1. Attempt to add a sales order line for 'Widget' with a unit that is neither EA nor CTN (e.g. KG).
2. Observe backend/UI rejection.</t>
        </is>
      </c>
      <c r="H8" s="19" t="inlineStr">
        <is>
          <t>Product with base EA and bulk pack CTN. Attempted line unit=KG.</t>
        </is>
      </c>
      <c r="I8" s="19" t="inlineStr">
        <is>
          <t>Line unit not in the product's configured units is rejected. Only EA (base) and CTN (configured pack) are selectable/valid for this product's lines.</t>
        </is>
      </c>
      <c r="J8" s="19" t="inlineStr">
        <is>
          <t>POST /api/v1/sales-orders/uid/{uid}/lines | POST /api/v1/quotations/uid/{uid}/lines</t>
        </is>
      </c>
      <c r="K8" s="19" t="inlineStr">
        <is>
          <t>SALES.ORDER.CREATE</t>
        </is>
      </c>
      <c r="L8" s="19" t="inlineStr"/>
      <c r="M8" s="8" t="inlineStr">
        <is>
          <t>Not Run</t>
        </is>
      </c>
      <c r="N8" s="8" t="inlineStr"/>
      <c r="O8" s="19" t="inlineStr"/>
      <c r="P8" s="19" t="inlineStr"/>
      <c r="Q8" s="19" t="inlineStr"/>
    </row>
    <row r="9">
      <c r="A9" s="15" t="inlineStr">
        <is>
          <t>PROD-007</t>
        </is>
      </c>
      <c r="B9" s="16" t="inlineStr">
        <is>
          <t>Products</t>
        </is>
      </c>
      <c r="C9" s="16" t="inlineStr">
        <is>
          <t>Set product price on a price list; remove price</t>
        </is>
      </c>
      <c r="D9" s="17" t="inlineStr">
        <is>
          <t>Positive</t>
        </is>
      </c>
      <c r="E9" s="17" t="inlineStr">
        <is>
          <t>High</t>
        </is>
      </c>
      <c r="F9" s="16" t="inlineStr">
        <is>
          <t>Product exists. An ACTIVE price list 'RETAIL' in the same company. Logged in as ORG_ADMIN.</t>
        </is>
      </c>
      <c r="G9" s="16" t="inlineStr">
        <is>
          <t>1. Open product detail; Prices panel.
2. Select price list 'RETAIL — Retail' by name; enter amount=1500, currency=TZS; Set price (HTTP 201).
3. Click Remove on the price row (HTTP 204).</t>
        </is>
      </c>
      <c r="H9" s="16" t="inlineStr">
        <is>
          <t>priceList=RETAIL, amount=1500, currency=TZS.</t>
        </is>
      </c>
      <c r="I9" s="16" t="inlineStr">
        <is>
          <t>Step 2: HTTP 201; price row shows list name + formatted money. Step 3: HTTP 204; row removed. Price list chosen by code/name — uid stored under the hood.</t>
        </is>
      </c>
      <c r="J9" s="16" t="inlineStr">
        <is>
          <t>POST /api/v1/products/uid/{uid}/prices | DELETE /api/v1/products/uid/{uid}/prices/{priceListUid}</t>
        </is>
      </c>
      <c r="K9" s="16" t="inlineStr">
        <is>
          <t>PRODUCT.MANAGE</t>
        </is>
      </c>
      <c r="L9" s="16" t="inlineStr"/>
      <c r="M9" s="17" t="inlineStr">
        <is>
          <t>Not Run</t>
        </is>
      </c>
      <c r="N9" s="17" t="inlineStr"/>
      <c r="O9" s="16" t="inlineStr"/>
      <c r="P9" s="16" t="inlineStr"/>
      <c r="Q9" s="16" t="inlineStr"/>
    </row>
    <row r="10">
      <c r="A10" s="18" t="inlineStr">
        <is>
          <t>PROD-008</t>
        </is>
      </c>
      <c r="B10" s="19" t="inlineStr">
        <is>
          <t>Products</t>
        </is>
      </c>
      <c r="C10" s="19" t="inlineStr">
        <is>
          <t>POS barcode lookup resolves to product (company-scoped); cross-tenant barcode not found</t>
        </is>
      </c>
      <c r="D10" s="8" t="inlineStr">
        <is>
          <t>Positive</t>
        </is>
      </c>
      <c r="E10" s="8" t="inlineStr">
        <is>
          <t>High</t>
        </is>
      </c>
      <c r="F10" s="19" t="inlineStr">
        <is>
          <t>Product in Company A has barcode '6001234567890'. Company B has different products. Logged in as ORG_ADMIN of Company A.</t>
        </is>
      </c>
      <c r="G10" s="19" t="inlineStr">
        <is>
          <t>1. On /admin/products, type barcode '6001234567890' in the scan box; trigger lookup.
2. Try a Company-B barcode value.</t>
        </is>
      </c>
      <c r="H10" s="19" t="inlineStr">
        <is>
          <t>Barcode '6001234567890' (Company A). A Company-B barcode value.</t>
        </is>
      </c>
      <c r="I10" s="19" t="inlineStr">
        <is>
          <t>Step 1: resolves to Company A product (name/code shown). Step 2: 404 not found — no cross-tenant leak.</t>
        </is>
      </c>
      <c r="J10" s="19" t="inlineStr">
        <is>
          <t>GET /api/v1/products/barcode-lookup?companyId=&amp;barcode=</t>
        </is>
      </c>
      <c r="K10" s="19" t="inlineStr">
        <is>
          <t>PRODUCT.VIEW</t>
        </is>
      </c>
      <c r="L10" s="19" t="inlineStr"/>
      <c r="M10" s="8" t="inlineStr">
        <is>
          <t>Not Run</t>
        </is>
      </c>
      <c r="N10" s="8" t="inlineStr"/>
      <c r="O10" s="19" t="inlineStr"/>
      <c r="P10" s="19" t="inlineStr"/>
      <c r="Q10" s="19" t="inlineStr"/>
    </row>
    <row r="11">
      <c r="A11" s="15" t="inlineStr">
        <is>
          <t>PROD-009</t>
        </is>
      </c>
      <c r="B11" s="16" t="inlineStr">
        <is>
          <t>Products</t>
        </is>
      </c>
      <c r="C11" s="16" t="inlineStr">
        <is>
          <t>Product create blocked for VIEW-only role</t>
        </is>
      </c>
      <c r="D11" s="17" t="inlineStr">
        <is>
          <t>Permission</t>
        </is>
      </c>
      <c r="E11" s="17" t="inlineStr">
        <is>
          <t>High</t>
        </is>
      </c>
      <c r="F11" s="16" t="inlineStr">
        <is>
          <t>Custom role with PRODUCT.VIEW only. Logged in as that user.</t>
        </is>
      </c>
      <c r="G11" s="16" t="inlineStr">
        <is>
          <t>1. Navigate to /admin/products; confirm 'New product' button is hidden.
2. Attempt POST /api/v1/products directly.</t>
        </is>
      </c>
      <c r="H11" s="16" t="inlineStr">
        <is>
          <t>Custom role: PRODUCT.VIEW only.</t>
        </is>
      </c>
      <c r="I11" s="16" t="inlineStr">
        <is>
          <t>Create button hidden (canManage=false). Direct POST returns HTTP 403.</t>
        </is>
      </c>
      <c r="J11" s="16" t="inlineStr">
        <is>
          <t>POST /api/v1/products</t>
        </is>
      </c>
      <c r="K11" s="16" t="inlineStr">
        <is>
          <t>PRODUCT.VIEW (denied PRODUCT.MANAGE)</t>
        </is>
      </c>
      <c r="L11" s="16" t="inlineStr"/>
      <c r="M11" s="17" t="inlineStr">
        <is>
          <t>Not Run</t>
        </is>
      </c>
      <c r="N11" s="17" t="inlineStr"/>
      <c r="O11" s="16" t="inlineStr"/>
      <c r="P11" s="16" t="inlineStr"/>
      <c r="Q11" s="16" t="inlineStr"/>
    </row>
    <row r="12">
      <c r="A12" s="18" t="inlineStr">
        <is>
          <t>UOM-001</t>
        </is>
      </c>
      <c r="B12" s="19" t="inlineStr">
        <is>
          <t>Units of Measure</t>
        </is>
      </c>
      <c r="C12" s="19" t="inlineStr">
        <is>
          <t>Create UoM; duplicate code per company rejected; archived UoM excluded from pickers</t>
        </is>
      </c>
      <c r="D12" s="8" t="inlineStr">
        <is>
          <t>Positive</t>
        </is>
      </c>
      <c r="E12" s="8" t="inlineStr">
        <is>
          <t>High</t>
        </is>
      </c>
      <c r="F12" s="19" t="inlineStr">
        <is>
          <t>Active company. Logged in as ORG_ADMIN.</t>
        </is>
      </c>
      <c r="G12" s="19" t="inlineStr">
        <is>
          <t>1. Navigate to /admin/units; click 'New unit'; code='CTN', name='Carton'. Submit (HTTP 201).
2. Create another unit with code='CTN' in the same company — expect rejection.
3. Archive the CTN unit; verify it no longer appears in product base-unit or bulk-pack dropdowns.</t>
        </is>
      </c>
      <c r="H12" s="19" t="inlineStr">
        <is>
          <t>code=CTN, name=Carton.</t>
        </is>
      </c>
      <c r="I12" s="19" t="inlineStr">
        <is>
          <t>Step 1: HTTP 201; unit ACTIVE. Step 2: duplicate code rejected. Step 3: ARCHIVED unit absent from product unit pickers.</t>
        </is>
      </c>
      <c r="J12" s="19" t="inlineStr">
        <is>
          <t>/admin/units | POST /api/v1/units | PUT /api/v1/units/uid/{uid}/archive</t>
        </is>
      </c>
      <c r="K12" s="19" t="inlineStr">
        <is>
          <t>UOM.MANAGE</t>
        </is>
      </c>
      <c r="L12" s="19" t="inlineStr"/>
      <c r="M12" s="8" t="inlineStr">
        <is>
          <t>Not Run</t>
        </is>
      </c>
      <c r="N12" s="8" t="inlineStr"/>
      <c r="O12" s="19" t="inlineStr"/>
      <c r="P12" s="19" t="inlineStr"/>
      <c r="Q12" s="19" t="inlineStr"/>
    </row>
    <row r="13">
      <c r="A13" s="15" t="inlineStr">
        <is>
          <t>PL-001</t>
        </is>
      </c>
      <c r="B13" s="16" t="inlineStr">
        <is>
          <t>Price Lists</t>
        </is>
      </c>
      <c r="C13" s="16" t="inlineStr">
        <is>
          <t>Create, edit, archive, and restore a price list</t>
        </is>
      </c>
      <c r="D13" s="17" t="inlineStr">
        <is>
          <t>Positive</t>
        </is>
      </c>
      <c r="E13" s="17" t="inlineStr">
        <is>
          <t>High</t>
        </is>
      </c>
      <c r="F13" s="16" t="inlineStr">
        <is>
          <t>Active company. Logged in as ORG_ADMIN.</t>
        </is>
      </c>
      <c r="G13" s="16" t="inlineStr">
        <is>
          <t>1. Navigate to /admin/price-lists; click 'New price list'; code='RETAIL', name='Retail'. Submit (201).
2. Edit name inline; save (200).
3. Archive (204) → badge ARCHIVED.
4. Restore (204) → badge ACTIVE.</t>
        </is>
      </c>
      <c r="H13" s="16" t="inlineStr">
        <is>
          <t>code=RETAIL, name=Retail.</t>
        </is>
      </c>
      <c r="I13" s="16" t="inlineStr">
        <is>
          <t>Full CRUD and lifecycle. PriceListDto envelopes. Duplicate code per company rejected. View-only role: writes hidden/403.</t>
        </is>
      </c>
      <c r="J13" s="16" t="inlineStr">
        <is>
          <t>/admin/price-lists | POST/PUT /api/v1/price-lists | PUT .../archive | PUT .../restore</t>
        </is>
      </c>
      <c r="K13" s="16" t="inlineStr">
        <is>
          <t>PRICELIST.MANAGE</t>
        </is>
      </c>
      <c r="L13" s="16" t="inlineStr"/>
      <c r="M13" s="17" t="inlineStr">
        <is>
          <t>Not Run</t>
        </is>
      </c>
      <c r="N13" s="17" t="inlineStr"/>
      <c r="O13" s="16" t="inlineStr"/>
      <c r="P13" s="16" t="inlineStr"/>
      <c r="Q13" s="16" t="inlineStr"/>
    </row>
    <row r="14">
      <c r="A14" s="18" t="inlineStr">
        <is>
          <t>TAX-001</t>
        </is>
      </c>
      <c r="B14" s="19" t="inlineStr">
        <is>
          <t>Tax Rates</t>
        </is>
      </c>
      <c r="C14" s="19" t="inlineStr">
        <is>
          <t>View the three seeded VAT bands; edit STANDARD rate</t>
        </is>
      </c>
      <c r="D14" s="8" t="inlineStr">
        <is>
          <t>Positive</t>
        </is>
      </c>
      <c r="E14" s="8" t="inlineStr">
        <is>
          <t>High</t>
        </is>
      </c>
      <c r="F14" s="19" t="inlineStr">
        <is>
          <t>Company with seeded tax rates (STANDARD, ZERO_RATED, EXEMPT). Logged in as ORG_ADMIN.</t>
        </is>
      </c>
      <c r="G14" s="19" t="inlineStr">
        <is>
          <t>1. Navigate to /admin/tax-rates; confirm 3 rows with label, rate, status.
2. Click Edit on STANDARD; set rate=0.18; Save.
3. Attempt rate=1.0 — expect validation failure.</t>
        </is>
      </c>
      <c r="H14" s="19" t="inlineStr">
        <is>
          <t>rate=0.18 (valid). rate=1.0 (invalid — must be &lt; 1).</t>
        </is>
      </c>
      <c r="I14" s="19" t="inlineStr">
        <is>
          <t>Step 2: HTTP 200; rate updated. Step 3: HTTP 400 (@DecimalMax 0.9999 + chk_tax_rate_value). No create or archive endpoint for tax rates.</t>
        </is>
      </c>
      <c r="J14" s="19" t="inlineStr">
        <is>
          <t>/admin/tax-rates | GET /api/v1/tax-rates | PUT /api/v1/tax-rates/uid/{uid}</t>
        </is>
      </c>
      <c r="K14" s="19" t="inlineStr">
        <is>
          <t>TAXRATE.MANAGE</t>
        </is>
      </c>
      <c r="L14" s="19" t="inlineStr"/>
      <c r="M14" s="8" t="inlineStr">
        <is>
          <t>Not Run</t>
        </is>
      </c>
      <c r="N14" s="8" t="inlineStr"/>
      <c r="O14" s="19" t="inlineStr"/>
      <c r="P14" s="19" t="inlineStr"/>
      <c r="Q14" s="19" t="inlineStr"/>
    </row>
    <row r="15">
      <c r="A15" s="15" t="inlineStr">
        <is>
          <t>FX-001</t>
        </is>
      </c>
      <c r="B15" s="16" t="inlineStr">
        <is>
          <t>FX Rates</t>
        </is>
      </c>
      <c r="C15" s="16" t="inlineStr">
        <is>
          <t>Add FX rate (effective-dated, append-only); reject same-currency pair and rate &lt;= 0</t>
        </is>
      </c>
      <c r="D15" s="17" t="inlineStr">
        <is>
          <t>Positive</t>
        </is>
      </c>
      <c r="E15" s="17" t="inlineStr">
        <is>
          <t>High</t>
        </is>
      </c>
      <c r="F15" s="16" t="inlineStr">
        <is>
          <t>Company A. USD and TZS active currencies. Logged in as ORG_ADMIN.</t>
        </is>
      </c>
      <c r="G15" s="16" t="inlineStr">
        <is>
          <t>1. Navigate to /admin/fx/rates; click 'New rate'.
2. From=USD, To=TZS, rate=2600, effectiveDate=today, rateType=SPOT, source=MANUAL. Submit (201).
3. Attempt From=TZS, To=TZS — expect client error.
4. Attempt rate=-1 — expect validation error.</t>
        </is>
      </c>
      <c r="H15" s="16" t="inlineStr">
        <is>
          <t>USD→TZS @ 2600. Negative tests: same currency pair, negative rate.</t>
        </is>
      </c>
      <c r="I15" s="16" t="inlineStr">
        <is>
          <t>Step 2: HTTP 201; rate row appears. Step 3: client blocks 'currencies must differ'. Step 4: 'Rate must be positive'. FX rates are append-only — a correction is a new row, not an edit.</t>
        </is>
      </c>
      <c r="J15" s="16" t="inlineStr">
        <is>
          <t>/admin/fx/rates | POST /api/v1/fx/rates</t>
        </is>
      </c>
      <c r="K15" s="16" t="inlineStr">
        <is>
          <t>CURRENCY.MANAGE</t>
        </is>
      </c>
      <c r="L15" s="16" t="inlineStr"/>
      <c r="M15" s="17" t="inlineStr">
        <is>
          <t>Not Run</t>
        </is>
      </c>
      <c r="N15" s="17" t="inlineStr"/>
      <c r="O15" s="16" t="inlineStr"/>
      <c r="P15" s="16" t="inlineStr"/>
      <c r="Q15" s="16" t="inlineStr"/>
    </row>
    <row r="16">
      <c r="A16" s="18" t="inlineStr">
        <is>
          <t>ROUTE-001</t>
        </is>
      </c>
      <c r="B16" s="19" t="inlineStr">
        <is>
          <t>Routes</t>
        </is>
      </c>
      <c r="C16" s="19" t="inlineStr">
        <is>
          <t>Create route; assign customer (ROUTE.ASSIGN); assign branch (ROUTE.MANAGE); INTERNAL agent rejected</t>
        </is>
      </c>
      <c r="D16" s="8" t="inlineStr">
        <is>
          <t>Positive</t>
        </is>
      </c>
      <c r="E16" s="8" t="inlineStr">
        <is>
          <t>High</t>
        </is>
      </c>
      <c r="F16" s="19" t="inlineStr">
        <is>
          <t>Active company with customers, an EXTERNAL agent, and at least 2 branches. Logged in as ORG_ADMIN.</t>
        </is>
      </c>
      <c r="G16" s="19" t="inlineStr">
        <is>
          <t>1. Navigate to /admin/routes; create route 'North Zone', locationId='NZ-01' (HTTP 201).
2. Open route detail; Customers panel: pick customer by 'code — name'; Assign (HTTP 201).
3. Agents panel: pick EXTERNAL agent by name; check Primary; Assign (HTTP 201).
4. Attempt to assign an INTERNAL agent — expect rejection.
5. Branches panel: pick branch by 'code — name'; Assign (HTTP 201) — note this requires ROUTE.MANAGE, not ROUTE.ASSIGN.</t>
        </is>
      </c>
      <c r="H16" s="19" t="inlineStr">
        <is>
          <t>Route 'North Zone'. Customer 'CUST-001 — Acme Stores'. EXTERNAL agent 'AG-002 — Field Rep'. Branch 'BR-02 — Mwanza'.</t>
        </is>
      </c>
      <c r="I16" s="19" t="inlineStr">
        <is>
          <t>Route created (code auto-assigned). Customer and EXTERNAL agent assigned (HTTP 201 each). INTERNAL agent rejected ('Only EXTERNAL agents may be assigned to a route'). Branch assigned with ROUTE.MANAGE; a ROUTE.ASSIGN-only user gets 403 on branch assign.</t>
        </is>
      </c>
      <c r="J16" s="19" t="inlineStr">
        <is>
          <t>/admin/routes | /admin/routes/uid/:uid | POST /api/v1/routes | POST .../customers | POST .../agents | POST .../branches</t>
        </is>
      </c>
      <c r="K16" s="19" t="inlineStr">
        <is>
          <t>ROUTE.MANAGE | ROUTE.ASSIGN</t>
        </is>
      </c>
      <c r="L16" s="19" t="inlineStr"/>
      <c r="M16" s="8" t="inlineStr">
        <is>
          <t>Not Run</t>
        </is>
      </c>
      <c r="N16" s="8" t="inlineStr"/>
      <c r="O16" s="19" t="inlineStr"/>
      <c r="P16" s="19" t="inlineStr"/>
      <c r="Q16" s="19" t="inlineStr"/>
    </row>
    <row r="17">
      <c r="A17" s="15" t="inlineStr">
        <is>
          <t>PROD-010</t>
        </is>
      </c>
      <c r="B17" s="16" t="inlineStr">
        <is>
          <t>Products</t>
        </is>
      </c>
      <c r="C17" s="16" t="inlineStr">
        <is>
          <t>Assign product to branch; duplicate assignment rejected; PRODUCT.VIEW-only denied write</t>
        </is>
      </c>
      <c r="D17" s="17" t="inlineStr">
        <is>
          <t>Positive</t>
        </is>
      </c>
      <c r="E17" s="17" t="inlineStr">
        <is>
          <t>High</t>
        </is>
      </c>
      <c r="F17" s="16" t="inlineStr">
        <is>
          <t>Product exists. Company has 2 branches. Logged in as ORG_ADMIN.</t>
        </is>
      </c>
      <c r="G17" s="16" t="inlineStr">
        <is>
          <t>1. Open product detail; Branch Assignments panel.
2. Pick branch by 'code — name'; click Assign (HTTP 201).
3. Assign the same branch again — expect 409.
4. Remove assignment (HTTP 204).
5. As PRODUCT.VIEW-only user, attempt POST branch assignment — expect 403.</t>
        </is>
      </c>
      <c r="H17" s="16" t="inlineStr">
        <is>
          <t>Branch 'BR-02 — Mwanza'. PRODUCT.VIEW-only role.</t>
        </is>
      </c>
      <c r="I17" s="16" t="inlineStr">
        <is>
          <t>Step 2: HTTP 201; branch row appears. Step 3: 409 'already assigned'. Step 4: HTTP 204; row removed. Step 5: HTTP 403 (PRODUCT.BRANCH.ASSIGN required).</t>
        </is>
      </c>
      <c r="J17" s="16" t="inlineStr">
        <is>
          <t>POST /api/v1/products/uid/{uid}/branches | DELETE /api/v1/products/uid/{uid}/branches/{branchUid}</t>
        </is>
      </c>
      <c r="K17" s="16" t="inlineStr">
        <is>
          <t>PRODUCT.BRANCH.ASSIGN</t>
        </is>
      </c>
      <c r="L17" s="16" t="inlineStr"/>
      <c r="M17" s="17" t="inlineStr">
        <is>
          <t>Not Run</t>
        </is>
      </c>
      <c r="N17" s="17" t="inlineStr"/>
      <c r="O17" s="16" t="inlineStr"/>
      <c r="P17" s="16" t="inlineStr"/>
      <c r="Q17" s="16" t="inlineStr"/>
    </row>
    <row r="18">
      <c r="A18" s="18" t="inlineStr">
        <is>
          <t>PROD-011</t>
        </is>
      </c>
      <c r="B18" s="19" t="inlineStr">
        <is>
          <t>Products</t>
        </is>
      </c>
      <c r="C18" s="19" t="inlineStr">
        <is>
          <t>BOM: add component; reject self-reference and ARCHIVED component (BR-PROD-05)</t>
        </is>
      </c>
      <c r="D18" s="8" t="inlineStr">
        <is>
          <t>Positive</t>
        </is>
      </c>
      <c r="E18" s="8" t="inlineStr">
        <is>
          <t>Medium</t>
        </is>
      </c>
      <c r="F18" s="19" t="inlineStr">
        <is>
          <t>Two GOODS products: Finished Good and Raw Material. Logged in as ORG_ADMIN.</t>
        </is>
      </c>
      <c r="G18" s="19" t="inlineStr">
        <is>
          <t>1. Open Finished Good product detail; BOM panel.
2. Search for Raw Material by name; set qty=3; Add.
3. Attempt to add Finished Good itself as a component.
4. Archive Raw Material; attempt to add it again.</t>
        </is>
      </c>
      <c r="H18" s="19" t="inlineStr">
        <is>
          <t>Finished Good + Raw Material. Component qty=3.</t>
        </is>
      </c>
      <c r="I18" s="19" t="inlineStr">
        <is>
          <t>Step 2: HTTP 201; component row shows product name, unit, qty. Step 3: HTTP 400 'A product may not reference itself as a BOM component (BR-PROD-05)'. Step 4: ARCHIVED component rejected. BOM.MANAGE required; BOM.VIEW for read-only.</t>
        </is>
      </c>
      <c r="J18" s="19" t="inlineStr">
        <is>
          <t>POST /api/v1/products/uid/{uid}/bom | DELETE /api/v1/products/uid/{uid}/bom/{componentUid}</t>
        </is>
      </c>
      <c r="K18" s="19" t="inlineStr">
        <is>
          <t>BOM.MANAGE</t>
        </is>
      </c>
      <c r="L18" s="19" t="inlineStr"/>
      <c r="M18" s="8" t="inlineStr">
        <is>
          <t>Not Run</t>
        </is>
      </c>
      <c r="N18" s="8" t="inlineStr"/>
      <c r="O18" s="19" t="inlineStr"/>
      <c r="P18" s="19" t="inlineStr"/>
      <c r="Q18" s="19" t="inlineStr"/>
    </row>
    <row r="19">
      <c r="A19" s="15" t="inlineStr">
        <is>
          <t>PROD-012</t>
        </is>
      </c>
      <c r="B19" s="16" t="inlineStr">
        <is>
          <t>Products</t>
        </is>
      </c>
      <c r="C19" s="16" t="inlineStr">
        <is>
          <t>Product detail page: axe-core accessibility check (WCAG 2.1 AA gate)</t>
        </is>
      </c>
      <c r="D19" s="17" t="inlineStr">
        <is>
          <t>Positive</t>
        </is>
      </c>
      <c r="E19" s="17" t="inlineStr">
        <is>
          <t>High</t>
        </is>
      </c>
      <c r="F19" s="16" t="inlineStr">
        <is>
          <t>An ACTIVE GOODS product with price list, BOM, and bulk pack configured. Logged in as ORG_ADMIN.</t>
        </is>
      </c>
      <c r="G19" s="16" t="inlineStr">
        <is>
          <t>1. Navigate to /admin/products/uid/:uid.
2. Run axe-core on the rendered page.
3. Verify zero critical/serious violations.</t>
        </is>
      </c>
      <c r="H19" s="16" t="inlineStr">
        <is>
          <t>Product with all panels populated.</t>
        </is>
      </c>
      <c r="I19" s="16" t="inlineStr">
        <is>
          <t>Zero axe critical/serious violations (WCAG 2.1 AA gate). Labels, landmarks, and colour contrast pass.</t>
        </is>
      </c>
      <c r="J19" s="16" t="inlineStr">
        <is>
          <t>/admin/products/uid/:uid</t>
        </is>
      </c>
      <c r="K19" s="16" t="inlineStr">
        <is>
          <t>PRODUCT.VIEW</t>
        </is>
      </c>
      <c r="L19" s="16" t="inlineStr"/>
      <c r="M19" s="17" t="inlineStr">
        <is>
          <t>Not Run</t>
        </is>
      </c>
      <c r="N19" s="17" t="inlineStr"/>
      <c r="O19" s="16" t="inlineStr"/>
      <c r="P19" s="16" t="inlineStr"/>
      <c r="Q19" s="16" t="inlineStr"/>
    </row>
    <row r="20">
      <c r="A20" s="18" t="inlineStr">
        <is>
          <t>PL-002</t>
        </is>
      </c>
      <c r="B20" s="19" t="inlineStr">
        <is>
          <t>Price Lists</t>
        </is>
      </c>
      <c r="C20" s="19" t="inlineStr">
        <is>
          <t>Price list picker in SO/invoice shows only ACTIVE lists; archived excluded</t>
        </is>
      </c>
      <c r="D20" s="8" t="inlineStr">
        <is>
          <t>Edge</t>
        </is>
      </c>
      <c r="E20" s="8" t="inlineStr">
        <is>
          <t>Medium</t>
        </is>
      </c>
      <c r="F20" s="19" t="inlineStr">
        <is>
          <t>Two price lists: RETAIL (ACTIVE), WHOLESALE (ARCHIVED). Logged in as ORG_ADMIN.</t>
        </is>
      </c>
      <c r="G20" s="19" t="inlineStr">
        <is>
          <t>1. On SO or invoice create/line form, open the price-list picker.
2. Verify RETAIL appears; WHOLESALE does not appear.
3. Attempt API with an ARCHIVED price list uid.</t>
        </is>
      </c>
      <c r="H20" s="19" t="inlineStr">
        <is>
          <t>RETAIL (ACTIVE). WHOLESALE (ARCHIVED).</t>
        </is>
      </c>
      <c r="I20" s="19" t="inlineStr">
        <is>
          <t>Only ACTIVE price lists shown in pickers. Attempting to set a line to an ARCHIVED price list via API returns HTTP 400 'PriceList is not ACTIVE'.</t>
        </is>
      </c>
      <c r="J20" s="19" t="inlineStr">
        <is>
          <t>/admin/sales-orders/create | GET /api/v1/price-lists?status=ACTIVE</t>
        </is>
      </c>
      <c r="K20" s="19" t="inlineStr">
        <is>
          <t>SALES.ORDER.CREATE | PRICELIST.VIEW</t>
        </is>
      </c>
      <c r="L20" s="19" t="inlineStr"/>
      <c r="M20" s="8" t="inlineStr">
        <is>
          <t>Not Run</t>
        </is>
      </c>
      <c r="N20" s="8" t="inlineStr"/>
      <c r="O20" s="19" t="inlineStr"/>
      <c r="P20" s="19" t="inlineStr"/>
      <c r="Q20" s="19" t="inlineStr"/>
    </row>
    <row r="21">
      <c r="A21" s="15" t="inlineStr">
        <is>
          <t>TAX-002</t>
        </is>
      </c>
      <c r="B21" s="16" t="inlineStr">
        <is>
          <t>Tax Rates</t>
        </is>
      </c>
      <c r="C21" s="16" t="inlineStr">
        <is>
          <t>Tax rate list flat (no paginator); currency list flat; FX rates list paginated</t>
        </is>
      </c>
      <c r="D21" s="17" t="inlineStr">
        <is>
          <t>Edge</t>
        </is>
      </c>
      <c r="E21" s="17" t="inlineStr">
        <is>
          <t>Medium</t>
        </is>
      </c>
      <c r="F21" s="16" t="inlineStr">
        <is>
          <t>Company with STANDARD, ZERO_RATED, EXEMPT seeded. 25+ FX rates. Logged in as ORG_ADMIN.</t>
        </is>
      </c>
      <c r="G21" s="16" t="inlineStr">
        <is>
          <t>1. Navigate to /admin/tax-rates — confirm all 3 rows; confirm NO paginator rendered.
2. Navigate to /admin/currencies — confirm flat list; no paginator; no 'New Currency' button.
3. Navigate to /admin/fx/rates — confirm paginator IS rendered.</t>
        </is>
      </c>
      <c r="H21" s="16" t="inlineStr">
        <is>
          <t>Three seeded tax bands. Currency list. 25+ FX rates.</t>
        </is>
      </c>
      <c r="I21" s="16" t="inlineStr">
        <is>
          <t>Tax-rate list: plain array, no app-paginator. Currency list: plain array, no paginator, no create. FX rates list: paginated (app-paginator present). POST /api/v1/currencies returns 405.</t>
        </is>
      </c>
      <c r="J21" s="16" t="inlineStr">
        <is>
          <t>/admin/tax-rates | /admin/currencies | /admin/fx/rates</t>
        </is>
      </c>
      <c r="K21" s="16" t="inlineStr">
        <is>
          <t>TAXRATE.VIEW | CURRENCY.VIEW</t>
        </is>
      </c>
      <c r="L21" s="16" t="inlineStr"/>
      <c r="M21" s="17" t="inlineStr">
        <is>
          <t>Not Run</t>
        </is>
      </c>
      <c r="N21" s="17" t="inlineStr"/>
      <c r="O21" s="16" t="inlineStr"/>
      <c r="P21" s="16" t="inlineStr"/>
      <c r="Q21" s="16" t="inlineStr"/>
    </row>
    <row r="22">
      <c r="A22" s="18" t="inlineStr">
        <is>
          <t>FX-002</t>
        </is>
      </c>
      <c r="B22" s="19" t="inlineStr">
        <is>
          <t>FX Rates</t>
        </is>
      </c>
      <c r="C22" s="19" t="inlineStr">
        <is>
          <t>FX rate list: SPOT vs MID type; paginator; cross-tenant rate isolation</t>
        </is>
      </c>
      <c r="D22" s="8" t="inlineStr">
        <is>
          <t>Positive</t>
        </is>
      </c>
      <c r="E22" s="8" t="inlineStr">
        <is>
          <t>Medium</t>
        </is>
      </c>
      <c r="F22" s="19" t="inlineStr">
        <is>
          <t>Company A with 25+ FX rates (mix of SPOT and MID). Company B with different rates. Logged in as Company A ORG_ADMIN.</t>
        </is>
      </c>
      <c r="G22" s="19" t="inlineStr">
        <is>
          <t>1. Navigate to /admin/fx/rates; exercise paginator NEXT/LAST/FIRST.
2. Filter by rateType=SPOT — verify only SPOT rows shown.
3. Attempt to GET a Company-B rate uid as Company A user.</t>
        </is>
      </c>
      <c r="H22" s="19" t="inlineStr">
        <is>
          <t>Company A: 25+ rates. Company B: separate rate set.</t>
        </is>
      </c>
      <c r="I22" s="19" t="inlineStr">
        <is>
          <t>Paginator: NEXT/LAST/FIRST work; meta{page,size,totalElements,totalPages,hasNext} populated. Filter by type works. Company B rate returns 403 for Company A user.</t>
        </is>
      </c>
      <c r="J22" s="19" t="inlineStr">
        <is>
          <t>/admin/fx/rates | GET /api/v1/fx/rates?rateType=&amp;page=&amp;size=</t>
        </is>
      </c>
      <c r="K22" s="19" t="inlineStr">
        <is>
          <t>CURRENCY.VIEW</t>
        </is>
      </c>
      <c r="L22" s="19" t="inlineStr"/>
      <c r="M22" s="8" t="inlineStr">
        <is>
          <t>Not Run</t>
        </is>
      </c>
      <c r="N22" s="8" t="inlineStr"/>
      <c r="O22" s="19" t="inlineStr"/>
      <c r="P22" s="19" t="inlineStr"/>
      <c r="Q22" s="19" t="inlineStr"/>
    </row>
  </sheetData>
  <autoFilter ref="A2:Q22"/>
  <mergeCells count="1">
    <mergeCell ref="A1:Q1"/>
  </mergeCells>
  <dataValidations count="4">
    <dataValidation sqref="D3:D22" showDropDown="0" showInputMessage="0" showErrorMessage="0" allowBlank="1" type="list">
      <formula1>"Positive,Negative,Permission,Edge"</formula1>
    </dataValidation>
    <dataValidation sqref="E3:E22" showDropDown="0" showInputMessage="0" showErrorMessage="0" allowBlank="1" type="list">
      <formula1>"High,Medium,Low"</formula1>
    </dataValidation>
    <dataValidation sqref="M3:M22" showDropDown="0" showInputMessage="0" showErrorMessage="0" allowBlank="1" type="list">
      <formula1>"Not Run,Pass,Fail,Blocked,N/A"</formula1>
    </dataValidation>
    <dataValidation sqref="N3:N22" showDropDown="0" showInputMessage="0" showErrorMessage="0" allowBlank="1"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5"/>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Sales – Order to Cash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O2C-001</t>
        </is>
      </c>
      <c r="B3" s="16" t="inlineStr">
        <is>
          <t>Quotation</t>
        </is>
      </c>
      <c r="C3" s="16" t="inlineStr">
        <is>
          <t>Create a draft quotation (CREDIT_ACCOUNT customer)</t>
        </is>
      </c>
      <c r="D3" s="17" t="inlineStr">
        <is>
          <t>Positive</t>
        </is>
      </c>
      <c r="E3" s="17" t="inlineStr">
        <is>
          <t>High</t>
        </is>
      </c>
      <c r="F3" s="16" t="inlineStr">
        <is>
          <t>Company with default branch. Active BUSINESS/CREDIT_ACCOUNT customer. Logged in as ORG_ADMIN with active branch header.</t>
        </is>
      </c>
      <c r="G3" s="16" t="inlineStr">
        <is>
          <t>1. Navigate to /admin/quotations; click 'New quotation'.
2. Pick customer by name from the dropdown.
3. Set quoteDate=today, validUntil=today+30.
4. Submit.</t>
        </is>
      </c>
      <c r="H3" s="16" t="inlineStr">
        <is>
          <t>customer='Acme Ltd (CUST-0001)', quoteDate=today, validUntil=today+30, currency=TZS.</t>
        </is>
      </c>
      <c r="I3" s="16" t="inlineStr">
        <is>
          <t>HTTP 201. DRAFT quotation row appears with status badge DRAFT. No QUOTE-#### number yet (allocated on send). Customer chosen by name — no uid typed or shown. ApiResponse&lt;QuotationDto&gt;.</t>
        </is>
      </c>
      <c r="J3" s="16" t="inlineStr">
        <is>
          <t>/admin/quotations | POST /api/v1/quotations</t>
        </is>
      </c>
      <c r="K3" s="16" t="inlineStr">
        <is>
          <t>SALES.QUOTE.CREATE</t>
        </is>
      </c>
      <c r="L3" s="16" t="inlineStr"/>
      <c r="M3" s="17" t="inlineStr">
        <is>
          <t>Not Run</t>
        </is>
      </c>
      <c r="N3" s="17" t="inlineStr"/>
      <c r="O3" s="16" t="inlineStr"/>
      <c r="P3" s="16" t="inlineStr"/>
      <c r="Q3" s="16" t="inlineStr"/>
    </row>
    <row r="4">
      <c r="A4" s="18" t="inlineStr">
        <is>
          <t>O2C-002</t>
        </is>
      </c>
      <c r="B4" s="19" t="inlineStr">
        <is>
          <t>Quotation</t>
        </is>
      </c>
      <c r="C4" s="19" t="inlineStr">
        <is>
          <t>Add GOODS line to draft quotation with line discount %; reject invalid combinations</t>
        </is>
      </c>
      <c r="D4" s="8" t="inlineStr">
        <is>
          <t>Positive</t>
        </is>
      </c>
      <c r="E4" s="8" t="inlineStr">
        <is>
          <t>High</t>
        </is>
      </c>
      <c r="F4" s="19" t="inlineStr">
        <is>
          <t>DRAFT quotation (O2C-001). A sellable GOODS product with company price and VAT rate. Logged in as ORG_ADMIN.</t>
        </is>
      </c>
      <c r="G4" s="19" t="inlineStr">
        <is>
          <t>1. Open quotation detail; product search → select product by code/name.
2. Choose unit, qty=10, discountPercent=5. Add line.
3. Verify line shows computed net/VAT/gross. Quotation totals recompute.
4. Attempt to set both discountPercent and discountAmount on the same line — expect rejection.</t>
        </is>
      </c>
      <c r="H4" s="19" t="inlineStr">
        <is>
          <t>product='Widget (PRD-0001)', unit='EACH', qty=10, lineDiscountPercent=5.</t>
        </is>
      </c>
      <c r="I4" s="19" t="inlineStr">
        <is>
          <t>HTTP 201 for line. Totals computed server-side (not client). Setting both discount types returns 400 (DiscountValidator). Qty&lt;=0 returns validation error. Product with no price returns 400.</t>
        </is>
      </c>
      <c r="J4" s="19" t="inlineStr">
        <is>
          <t>POST /api/v1/quotations/uid/{uid}/lines</t>
        </is>
      </c>
      <c r="K4" s="19" t="inlineStr">
        <is>
          <t>SALES.QUOTE.CREATE</t>
        </is>
      </c>
      <c r="L4" s="19" t="inlineStr"/>
      <c r="M4" s="8" t="inlineStr">
        <is>
          <t>Not Run</t>
        </is>
      </c>
      <c r="N4" s="8" t="inlineStr"/>
      <c r="O4" s="19" t="inlineStr"/>
      <c r="P4" s="19" t="inlineStr"/>
      <c r="Q4" s="19" t="inlineStr"/>
    </row>
    <row r="5">
      <c r="A5" s="15" t="inlineStr">
        <is>
          <t>O2C-003</t>
        </is>
      </c>
      <c r="B5" s="16" t="inlineStr">
        <is>
          <t>Quotation</t>
        </is>
      </c>
      <c r="C5" s="16" t="inlineStr">
        <is>
          <t>Add SERVICE line to draft quotation</t>
        </is>
      </c>
      <c r="D5" s="17" t="inlineStr">
        <is>
          <t>Positive</t>
        </is>
      </c>
      <c r="E5" s="17" t="inlineStr">
        <is>
          <t>Medium</t>
        </is>
      </c>
      <c r="F5" s="16" t="inlineStr">
        <is>
          <t>DRAFT quotation. Sellable SERVICE product with company price and VAT rate.</t>
        </is>
      </c>
      <c r="G5" s="16" t="inlineStr">
        <is>
          <t>1. Add a SERVICE product line (qty=2) to the quotation.</t>
        </is>
      </c>
      <c r="H5" s="16" t="inlineStr">
        <is>
          <t>product='Installation (SVC-0001)', qty=2.</t>
        </is>
      </c>
      <c r="I5" s="16" t="inlineStr">
        <is>
          <t>HTTP 201. Line added and priced identically to a goods line. No reservation concept applies to service lines.</t>
        </is>
      </c>
      <c r="J5" s="16" t="inlineStr">
        <is>
          <t>POST /api/v1/quotations/uid/{uid}/lines</t>
        </is>
      </c>
      <c r="K5" s="16" t="inlineStr">
        <is>
          <t>SALES.QUOTE.CREATE</t>
        </is>
      </c>
      <c r="L5" s="16" t="inlineStr"/>
      <c r="M5" s="17" t="inlineStr">
        <is>
          <t>Not Run</t>
        </is>
      </c>
      <c r="N5" s="17" t="inlineStr"/>
      <c r="O5" s="16" t="inlineStr"/>
      <c r="P5" s="16" t="inlineStr"/>
      <c r="Q5" s="16" t="inlineStr"/>
    </row>
    <row r="6">
      <c r="A6" s="18" t="inlineStr">
        <is>
          <t>O2C-004</t>
        </is>
      </c>
      <c r="B6" s="19" t="inlineStr">
        <is>
          <t>Quotation</t>
        </is>
      </c>
      <c r="C6" s="19" t="inlineStr">
        <is>
          <t>Send quotation (DRAFT → SENT, allocates QUOTE-#### number)</t>
        </is>
      </c>
      <c r="D6" s="8" t="inlineStr">
        <is>
          <t>Positive</t>
        </is>
      </c>
      <c r="E6" s="8" t="inlineStr">
        <is>
          <t>High</t>
        </is>
      </c>
      <c r="F6" s="19" t="inlineStr">
        <is>
          <t>DRAFT quotation with at least 1 line. validUntil &gt;= today.</t>
        </is>
      </c>
      <c r="G6" s="19" t="inlineStr">
        <is>
          <t>1. On quotation detail, click 'Send'.
2. Observe status badge changes to SENT and a QUOTE-#### number appears in the header.</t>
        </is>
      </c>
      <c r="H6" s="19" t="inlineStr">
        <is>
          <t>DRAFT quotation with 1+ lines and future validUntil.</t>
        </is>
      </c>
      <c r="I6" s="19" t="inlineStr">
        <is>
          <t>HTTP 204. status=SENT. quoteNumber allocated (QUOTE-####). sentAt stamped. Attempting to send with zero lines is blocked by UI (canSendNow = isDraft &amp;&amp; lines&gt;0). Sending with validUntil in the past returns 400.</t>
        </is>
      </c>
      <c r="J6" s="19" t="inlineStr">
        <is>
          <t>PUT /api/v1/quotations/uid/{uid}/send</t>
        </is>
      </c>
      <c r="K6" s="19" t="inlineStr">
        <is>
          <t>SALES.QUOTE.SEND</t>
        </is>
      </c>
      <c r="L6" s="19" t="inlineStr"/>
      <c r="M6" s="8" t="inlineStr">
        <is>
          <t>Not Run</t>
        </is>
      </c>
      <c r="N6" s="8" t="inlineStr"/>
      <c r="O6" s="19" t="inlineStr"/>
      <c r="P6" s="19" t="inlineStr"/>
      <c r="Q6" s="19" t="inlineStr"/>
    </row>
    <row r="7">
      <c r="A7" s="15" t="inlineStr">
        <is>
          <t>O2C-005</t>
        </is>
      </c>
      <c r="B7" s="16" t="inlineStr">
        <is>
          <t>Quotation</t>
        </is>
      </c>
      <c r="C7" s="16" t="inlineStr">
        <is>
          <t>Accept quotation (SENT → ACCEPTED) creates Sales Order</t>
        </is>
      </c>
      <c r="D7" s="17" t="inlineStr">
        <is>
          <t>Positive</t>
        </is>
      </c>
      <c r="E7" s="17" t="inlineStr">
        <is>
          <t>High</t>
        </is>
      </c>
      <c r="F7" s="16" t="inlineStr">
        <is>
          <t>SENT quotation with validUntil &gt;= today.</t>
        </is>
      </c>
      <c r="G7" s="16" t="inlineStr">
        <is>
          <t>1. On quotation detail, click 'Accept'.
2. Observe success toast with new SO number.
3. Navigate to the new Sales Order.</t>
        </is>
      </c>
      <c r="H7" s="16" t="inlineStr">
        <is>
          <t>SENT quotation.</t>
        </is>
      </c>
      <c r="I7" s="16" t="inlineStr">
        <is>
          <t>HTTP 201. quotation status=ACCEPTED with convertedOrderUid. New DRAFT Sales Order created with sourceQuotationUid set and lines copied. Accepting a DRAFT quotation returns 400. Accepting an expired SENT quotation auto-flips it to EXPIRED and returns 400.</t>
        </is>
      </c>
      <c r="J7" s="16" t="inlineStr">
        <is>
          <t>PUT /api/v1/quotations/uid/{uid}/accept</t>
        </is>
      </c>
      <c r="K7" s="16" t="inlineStr">
        <is>
          <t>SALES.QUOTE.ACCEPT</t>
        </is>
      </c>
      <c r="L7" s="16" t="inlineStr"/>
      <c r="M7" s="17" t="inlineStr">
        <is>
          <t>Not Run</t>
        </is>
      </c>
      <c r="N7" s="17" t="inlineStr"/>
      <c r="O7" s="16" t="inlineStr"/>
      <c r="P7" s="16" t="inlineStr"/>
      <c r="Q7" s="16" t="inlineStr"/>
    </row>
    <row r="8">
      <c r="A8" s="18" t="inlineStr">
        <is>
          <t>O2C-006</t>
        </is>
      </c>
      <c r="B8" s="19" t="inlineStr">
        <is>
          <t>Quotation</t>
        </is>
      </c>
      <c r="C8" s="19" t="inlineStr">
        <is>
          <t>Reject quotation (SENT → REJECTED)</t>
        </is>
      </c>
      <c r="D8" s="8" t="inlineStr">
        <is>
          <t>Positive</t>
        </is>
      </c>
      <c r="E8" s="8" t="inlineStr">
        <is>
          <t>Medium</t>
        </is>
      </c>
      <c r="F8" s="19" t="inlineStr">
        <is>
          <t>SENT quotation.</t>
        </is>
      </c>
      <c r="G8" s="19" t="inlineStr">
        <is>
          <t>1. On quotation detail, click 'Reject'.
2. Verify status=REJECTED and rejectedAt stamped.</t>
        </is>
      </c>
      <c r="H8" s="19" t="inlineStr">
        <is>
          <t>SENT quotation.</t>
        </is>
      </c>
      <c r="I8" s="19" t="inlineStr">
        <is>
          <t>HTTP 204. status=REJECTED. Toast 'Quotation rejected'. Rejecting a DRAFT quotation returns 400. Reject shares the SALES.QUOTE.ACCEPT permission.</t>
        </is>
      </c>
      <c r="J8" s="19" t="inlineStr">
        <is>
          <t>PUT /api/v1/quotations/uid/{uid}/reject</t>
        </is>
      </c>
      <c r="K8" s="19" t="inlineStr">
        <is>
          <t>SALES.QUOTE.ACCEPT</t>
        </is>
      </c>
      <c r="L8" s="19" t="inlineStr"/>
      <c r="M8" s="8" t="inlineStr">
        <is>
          <t>Not Run</t>
        </is>
      </c>
      <c r="N8" s="8" t="inlineStr"/>
      <c r="O8" s="19" t="inlineStr"/>
      <c r="P8" s="19" t="inlineStr"/>
      <c r="Q8" s="19" t="inlineStr"/>
    </row>
    <row r="9">
      <c r="A9" s="15" t="inlineStr">
        <is>
          <t>O2C-007</t>
        </is>
      </c>
      <c r="B9" s="16" t="inlineStr">
        <is>
          <t>Quotation</t>
        </is>
      </c>
      <c r="C9" s="16" t="inlineStr">
        <is>
          <t>Illegal quotation transition matrix</t>
        </is>
      </c>
      <c r="D9" s="17" t="inlineStr">
        <is>
          <t>Negative</t>
        </is>
      </c>
      <c r="E9" s="17" t="inlineStr">
        <is>
          <t>Medium</t>
        </is>
      </c>
      <c r="F9" s="16" t="inlineStr">
        <is>
          <t>Quotations in each status: DRAFT, SENT, ACCEPTED, REJECTED, EXPIRED. Logged in as ORG_ADMIN.</t>
        </is>
      </c>
      <c r="G9" s="16" t="inlineStr">
        <is>
          <t>1. Attempt to send a SENT/ACCEPTED/REJECTED/EXPIRED quote.
2. Attempt to accept a DRAFT/ACCEPTED/REJECTED/EXPIRED quote.
3. Attempt to reject a DRAFT/ACCEPTED/REJECTED/EXPIRED quote.
4. Attempt to add/remove a line on a SENT/ACCEPTED quote.</t>
        </is>
      </c>
      <c r="H9" s="16" t="inlineStr">
        <is>
          <t>Quotations in each status.</t>
        </is>
      </c>
      <c r="I9" s="16" t="inlineStr">
        <is>
          <t>Every illegal transition returns HTTP 400 with descriptive errors[]. No state change persisted.</t>
        </is>
      </c>
      <c r="J9" s="16" t="inlineStr">
        <is>
          <t>PUT /api/v1/quotations/uid/{uid}/send | /accept | /reject | POST/DELETE .../lines</t>
        </is>
      </c>
      <c r="K9" s="16" t="inlineStr">
        <is>
          <t>SALES.QUOTE.SEND | SALES.QUOTE.ACCEPT | SALES.QUOTE.CREATE</t>
        </is>
      </c>
      <c r="L9" s="16" t="inlineStr"/>
      <c r="M9" s="17" t="inlineStr">
        <is>
          <t>Not Run</t>
        </is>
      </c>
      <c r="N9" s="17" t="inlineStr"/>
      <c r="O9" s="16" t="inlineStr"/>
      <c r="P9" s="16" t="inlineStr"/>
      <c r="Q9" s="16" t="inlineStr"/>
    </row>
    <row r="10">
      <c r="A10" s="18" t="inlineStr">
        <is>
          <t>O2C-008</t>
        </is>
      </c>
      <c r="B10" s="19" t="inlineStr">
        <is>
          <t>Sales Order</t>
        </is>
      </c>
      <c r="C10" s="19" t="inlineStr">
        <is>
          <t>Create standalone draft Sales Order (CASH_WALK_IN customer) with document discount</t>
        </is>
      </c>
      <c r="D10" s="8" t="inlineStr">
        <is>
          <t>Positive</t>
        </is>
      </c>
      <c r="E10" s="8" t="inlineStr">
        <is>
          <t>High</t>
        </is>
      </c>
      <c r="F10" s="19" t="inlineStr">
        <is>
          <t>Company with default branch. An INDIVIDUAL/CASH_WALK_IN customer. Logged in as ORG_ADMIN.</t>
        </is>
      </c>
      <c r="G10" s="19" t="inlineStr">
        <is>
          <t>1. Navigate to /admin/sales-orders; open create form.
2. Pick customer by name; set orderDate=today; docDiscountPercent=2. Submit.</t>
        </is>
      </c>
      <c r="H10" s="19" t="inlineStr">
        <is>
          <t>customer='Walk-in Joe (CUST-0009)', orderDate=today, docDiscountPercent=2, currency=TZS.</t>
        </is>
      </c>
      <c r="I10" s="19" t="inlineStr">
        <is>
          <t>HTTP 201. DRAFT SO with order number. No stock reserved yet. Setting both docDiscountPercent AND docDiscountAmount returns 400. Creating in an unassigned branch returns 403.</t>
        </is>
      </c>
      <c r="J10" s="19" t="inlineStr">
        <is>
          <t>/admin/sales-orders | POST /api/v1/sales-orders</t>
        </is>
      </c>
      <c r="K10" s="19" t="inlineStr">
        <is>
          <t>SALES.ORDER.CREATE</t>
        </is>
      </c>
      <c r="L10" s="19" t="inlineStr"/>
      <c r="M10" s="8" t="inlineStr">
        <is>
          <t>Not Run</t>
        </is>
      </c>
      <c r="N10" s="8" t="inlineStr"/>
      <c r="O10" s="19" t="inlineStr"/>
      <c r="P10" s="19" t="inlineStr"/>
      <c r="Q10" s="19" t="inlineStr"/>
    </row>
    <row r="11">
      <c r="A11" s="15" t="inlineStr">
        <is>
          <t>O2C-009</t>
        </is>
      </c>
      <c r="B11" s="16" t="inlineStr">
        <is>
          <t>Sales Order</t>
        </is>
      </c>
      <c r="C11" s="16" t="inlineStr">
        <is>
          <t>Add GOODS and SERVICE lines to draft Sales Order</t>
        </is>
      </c>
      <c r="D11" s="17" t="inlineStr">
        <is>
          <t>Positive</t>
        </is>
      </c>
      <c r="E11" s="17" t="inlineStr">
        <is>
          <t>High</t>
        </is>
      </c>
      <c r="F11" s="16" t="inlineStr">
        <is>
          <t>DRAFT Sales Order (O2C-008). Sellable GOODS and SERVICE products with company price and VAT rate.</t>
        </is>
      </c>
      <c r="G11" s="16" t="inlineStr">
        <is>
          <t>1. Add a GOODS line: qty=20, lineDiscountAmount=1000.
2. Add a SERVICE line: qty=1.
3. Verify line totals and SO totals recompute server-side.</t>
        </is>
      </c>
      <c r="H11" s="16" t="inlineStr">
        <is>
          <t>GOODS product qty=20 discount=1000. SERVICE product qty=1.</t>
        </is>
      </c>
      <c r="I11" s="16" t="inlineStr">
        <is>
          <t>HTTP 201 each. Lines show orderedQty, listPrice, net/VAT/gross from DTO. qtyReservedBase/qtyFulfilledBase/qtyInvoicedBase start at 0. Adding a line to a CONFIRMED SO returns 400.</t>
        </is>
      </c>
      <c r="J11" s="16" t="inlineStr">
        <is>
          <t>POST /api/v1/sales-orders/uid/{uid}/lines</t>
        </is>
      </c>
      <c r="K11" s="16" t="inlineStr">
        <is>
          <t>SALES.ORDER.CREATE</t>
        </is>
      </c>
      <c r="L11" s="16" t="inlineStr"/>
      <c r="M11" s="17" t="inlineStr">
        <is>
          <t>Not Run</t>
        </is>
      </c>
      <c r="N11" s="17" t="inlineStr"/>
      <c r="O11" s="16" t="inlineStr"/>
      <c r="P11" s="16" t="inlineStr"/>
      <c r="Q11" s="16" t="inlineStr"/>
    </row>
    <row r="12">
      <c r="A12" s="18" t="inlineStr">
        <is>
          <t>O2C-010</t>
        </is>
      </c>
      <c r="B12" s="19" t="inlineStr">
        <is>
          <t>Sales Order</t>
        </is>
      </c>
      <c r="C12" s="19" t="inlineStr">
        <is>
          <t>Confirm Sales Order reserves stock (DRAFT → CONFIRMED)</t>
        </is>
      </c>
      <c r="D12" s="8" t="inlineStr">
        <is>
          <t>Positive</t>
        </is>
      </c>
      <c r="E12" s="8" t="inlineStr">
        <is>
          <t>High</t>
        </is>
      </c>
      <c r="F12" s="19" t="inlineStr">
        <is>
          <t>DRAFT SO with at least 1 GOODS line. Product has on-hand stock in the branch. Logged in as ORG_ADMIN.</t>
        </is>
      </c>
      <c r="G12" s="19" t="inlineStr">
        <is>
          <t>1. On SO detail, click 'Confirm'.
2. Observe toast 'Order confirmed — stock reserved'.
3. Verify each line shows reservedQty = orderedQty. Status badge=CONFIRMED.
4. Verify reserved stock for the product/branch increased by the ordered base qty.</t>
        </is>
      </c>
      <c r="H12" s="19" t="inlineStr">
        <is>
          <t>DRAFT SO with a GOODS line (qty=10).</t>
        </is>
      </c>
      <c r="I12" s="19" t="inlineStr">
        <is>
          <t>HTTP 204. status=CONFIRMED. confirmedAt stamped. qtyReservedBase=qtyOrderedBase per line. Confirming an SO with zero lines returns 400. Confirming an already-CONFIRMED SO returns 400.</t>
        </is>
      </c>
      <c r="J12" s="19" t="inlineStr">
        <is>
          <t>PUT /api/v1/sales-orders/uid/{uid}/confirm</t>
        </is>
      </c>
      <c r="K12" s="19" t="inlineStr">
        <is>
          <t>SALES.ORDER.CONFIRM</t>
        </is>
      </c>
      <c r="L12" s="19" t="inlineStr"/>
      <c r="M12" s="8" t="inlineStr">
        <is>
          <t>Not Run</t>
        </is>
      </c>
      <c r="N12" s="8" t="inlineStr"/>
      <c r="O12" s="19" t="inlineStr"/>
      <c r="P12" s="19" t="inlineStr"/>
      <c r="Q12" s="19" t="inlineStr"/>
    </row>
    <row r="13">
      <c r="A13" s="15" t="inlineStr">
        <is>
          <t>O2C-011</t>
        </is>
      </c>
      <c r="B13" s="16" t="inlineStr">
        <is>
          <t>Sales Order</t>
        </is>
      </c>
      <c r="C13" s="16" t="inlineStr">
        <is>
          <t>Cancel confirmed Sales Order releases reservation (→ CANCELLED)</t>
        </is>
      </c>
      <c r="D13" s="17" t="inlineStr">
        <is>
          <t>Positive</t>
        </is>
      </c>
      <c r="E13" s="17" t="inlineStr">
        <is>
          <t>High</t>
        </is>
      </c>
      <c r="F13" s="16" t="inlineStr">
        <is>
          <t>CONFIRMED SO with reserved stock (O2C-010). Logged in as ORG_ADMIN.</t>
        </is>
      </c>
      <c r="G13" s="16" t="inlineStr">
        <is>
          <t>1. On SO detail, open Cancel form; enter reason='Customer changed mind'. Submit.
2. Verify status=CANCELLED and per-line reserved qty returns to 0.
3. Verify stock reservation released.</t>
        </is>
      </c>
      <c r="H13" s="16" t="inlineStr">
        <is>
          <t>cancelReason='Customer changed mind'.</t>
        </is>
      </c>
      <c r="I13" s="16" t="inlineStr">
        <is>
          <t>HTTP 204. status=CANCELLED. cancelledAt and cancelReason stamped. Reservation negated. Cancelling a CLOSED SO returns 400. Reason is optional (null allowed).</t>
        </is>
      </c>
      <c r="J13" s="16" t="inlineStr">
        <is>
          <t>PUT /api/v1/sales-orders/uid/{uid}/cancel</t>
        </is>
      </c>
      <c r="K13" s="16" t="inlineStr">
        <is>
          <t>SALES.ORDER.CANCEL</t>
        </is>
      </c>
      <c r="L13" s="16" t="inlineStr"/>
      <c r="M13" s="17" t="inlineStr">
        <is>
          <t>Not Run</t>
        </is>
      </c>
      <c r="N13" s="17" t="inlineStr"/>
      <c r="O13" s="16" t="inlineStr"/>
      <c r="P13" s="16" t="inlineStr"/>
      <c r="Q13" s="16" t="inlineStr"/>
    </row>
    <row r="14">
      <c r="A14" s="18" t="inlineStr">
        <is>
          <t>O2C-012</t>
        </is>
      </c>
      <c r="B14" s="19" t="inlineStr">
        <is>
          <t>Sales Order</t>
        </is>
      </c>
      <c r="C14" s="19" t="inlineStr">
        <is>
          <t>SO status rollup: partial delivery → PARTIALLY_FULFILLED → FULFILLED</t>
        </is>
      </c>
      <c r="D14" s="8" t="inlineStr">
        <is>
          <t>Positive</t>
        </is>
      </c>
      <c r="E14" s="8" t="inlineStr">
        <is>
          <t>High</t>
        </is>
      </c>
      <c r="F14" s="19" t="inlineStr">
        <is>
          <t>CONFIRMED SO with single GOODS line qty=10.</t>
        </is>
      </c>
      <c r="G14" s="19" t="inlineStr">
        <is>
          <t>1. Create delivery for qty=6 against the line.
2. Verify SO status=PARTIALLY_FULFILLED; line fulfilled=6, open=4.
3. Create second delivery for remaining qty=4.
4. Verify SO status=FULFILLED; line fulfilled=10, open=0.</t>
        </is>
      </c>
      <c r="H14" s="19" t="inlineStr">
        <is>
          <t>SO line qty=10. Delivery 1: qty=6. Delivery 2: qty=4.</t>
        </is>
      </c>
      <c r="I14" s="19" t="inlineStr">
        <is>
          <t>After partial delivery: PARTIALLY_FULFILLED. After full delivery: FULFILLED. Attempting to deliver qty=11 against open=10 returns 400 (BR-SO-11).</t>
        </is>
      </c>
      <c r="J14" s="19" t="inlineStr">
        <is>
          <t>POST /api/v1/deliveries | GET /api/v1/sales-orders/uid/{uid}</t>
        </is>
      </c>
      <c r="K14" s="19" t="inlineStr">
        <is>
          <t>SALES.DELIVERY.CREATE | SALES.ORDER.CONFIRM</t>
        </is>
      </c>
      <c r="L14" s="19" t="inlineStr"/>
      <c r="M14" s="8" t="inlineStr">
        <is>
          <t>Not Run</t>
        </is>
      </c>
      <c r="N14" s="8" t="inlineStr"/>
      <c r="O14" s="19" t="inlineStr"/>
      <c r="P14" s="19" t="inlineStr"/>
      <c r="Q14" s="19" t="inlineStr"/>
    </row>
    <row r="15">
      <c r="A15" s="15" t="inlineStr">
        <is>
          <t>O2C-013</t>
        </is>
      </c>
      <c r="B15" s="16" t="inlineStr">
        <is>
          <t>Sales Order</t>
        </is>
      </c>
      <c r="C15" s="16" t="inlineStr">
        <is>
          <t>SO status rollup: invoicing → PARTIALLY_INVOICED → CLOSED</t>
        </is>
      </c>
      <c r="D15" s="17" t="inlineStr">
        <is>
          <t>Positive</t>
        </is>
      </c>
      <c r="E15" s="17" t="inlineStr">
        <is>
          <t>High</t>
        </is>
      </c>
      <c r="F15" s="16" t="inlineStr">
        <is>
          <t>FULLY-FULFILLED SO across two deliveries (O2C-012).</t>
        </is>
      </c>
      <c r="G15" s="16" t="inlineStr">
        <is>
          <t>1. Generate invoice from delivery #1 (qty=6) and finalise.
2. Verify SO=PARTIALLY_INVOICED.
3. Generate invoice from delivery #2 (qty=4) and finalise.
4. Verify SO=CLOSED.</t>
        </is>
      </c>
      <c r="H15" s="16" t="inlineStr">
        <is>
          <t>Two deliveries fully covering the SO.</t>
        </is>
      </c>
      <c r="I15" s="16" t="inlineStr">
        <is>
          <t>PARTIALLY_INVOICED after first invoice. CLOSED after second (fully-fulfilled + fully-invoiced triggers CLOSED via deriveStatus). INVOICED enum value is not used in the v1 rollup.</t>
        </is>
      </c>
      <c r="J15" s="16" t="inlineStr">
        <is>
          <t>POST /api/v1/deliveries/uid/{uid}/invoice | PUT /api/v1/sales-invoices/uid/{uid}/finalize</t>
        </is>
      </c>
      <c r="K15" s="16" t="inlineStr">
        <is>
          <t>SALES.DELIVERY.CREATE | SALES.INVOICE.CREATE</t>
        </is>
      </c>
      <c r="L15" s="16" t="inlineStr"/>
      <c r="M15" s="17" t="inlineStr">
        <is>
          <t>Not Run</t>
        </is>
      </c>
      <c r="N15" s="17" t="inlineStr"/>
      <c r="O15" s="16" t="inlineStr"/>
      <c r="P15" s="16" t="inlineStr"/>
      <c r="Q15" s="16" t="inlineStr"/>
    </row>
    <row r="16">
      <c r="A16" s="18" t="inlineStr">
        <is>
          <t>O2C-014</t>
        </is>
      </c>
      <c r="B16" s="19" t="inlineStr">
        <is>
          <t>Delivery</t>
        </is>
      </c>
      <c r="C16" s="19" t="inlineStr">
        <is>
          <t>Create a full delivery against confirmed SO (CONFIRMED status, GOODS stock issued)</t>
        </is>
      </c>
      <c r="D16" s="8" t="inlineStr">
        <is>
          <t>Positive</t>
        </is>
      </c>
      <c r="E16" s="8" t="inlineStr">
        <is>
          <t>High</t>
        </is>
      </c>
      <c r="F16" s="19" t="inlineStr">
        <is>
          <t>CONFIRMED SO with open GOODS line qty=10. Product has stock. Logged in as ORG_ADMIN.</t>
        </is>
      </c>
      <c r="G16" s="19" t="inlineStr">
        <is>
          <t>1. Navigate to /admin/deliveries/create for the SO (selected by SO number).
2. Form loads open lines; default each qty input to the open balance.
3. Set deliveryDate=today; keep full qty=10. Submit.</t>
        </is>
      </c>
      <c r="H16" s="19" t="inlineStr">
        <is>
          <t>deliveryDate=today, line qty=10.</t>
        </is>
      </c>
      <c r="I16" s="19" t="inlineStr">
        <is>
          <t>HTTP 201. Delivery created directly in CONFIRMED status with DELIVERY-#### number. SO line qtyFulfilledBase+=10. Reservation released. SO status → FULFILLED. DELIVERY.CONFIRMED domain event published (stock issued + COGS).</t>
        </is>
      </c>
      <c r="J16" s="19" t="inlineStr">
        <is>
          <t>/admin/deliveries/create | POST /api/v1/deliveries</t>
        </is>
      </c>
      <c r="K16" s="19" t="inlineStr">
        <is>
          <t>SALES.DELIVERY.CREATE</t>
        </is>
      </c>
      <c r="L16" s="19" t="inlineStr"/>
      <c r="M16" s="8" t="inlineStr">
        <is>
          <t>Not Run</t>
        </is>
      </c>
      <c r="N16" s="8" t="inlineStr"/>
      <c r="O16" s="19" t="inlineStr"/>
      <c r="P16" s="19" t="inlineStr"/>
      <c r="Q16" s="19" t="inlineStr"/>
    </row>
    <row r="17">
      <c r="A17" s="15" t="inlineStr">
        <is>
          <t>O2C-015</t>
        </is>
      </c>
      <c r="B17" s="16" t="inlineStr">
        <is>
          <t>Delivery</t>
        </is>
      </c>
      <c r="C17" s="16" t="inlineStr">
        <is>
          <t>Create partial delivery (backorder); over-qty rejected</t>
        </is>
      </c>
      <c r="D17" s="17" t="inlineStr">
        <is>
          <t>Positive</t>
        </is>
      </c>
      <c r="E17" s="17" t="inlineStr">
        <is>
          <t>High</t>
        </is>
      </c>
      <c r="F17" s="16" t="inlineStr">
        <is>
          <t>CONFIRMED SO with GOODS line qty=10.</t>
        </is>
      </c>
      <c r="G17" s="16" t="inlineStr">
        <is>
          <t>1. On delivery-create form, set line qty=6 (less than open=10). Submit.
2. Verify SO status=PARTIALLY_FULFILLED; line fulfilled=6, open=4.
3. Attempt delivery with qty=11 (exceeds open=10).</t>
        </is>
      </c>
      <c r="H17" s="16" t="inlineStr">
        <is>
          <t>Partial delivery qty=6. Over-qty test qty=11.</t>
        </is>
      </c>
      <c r="I17" s="16" t="inlineStr">
        <is>
          <t>Step 1: HTTP 201; SO PARTIALLY_FULFILLED. Step 3: UI blocks 'Quantity exceeds open balance (10)' AND backend returns 400 'Delivery qty 11 exceeds open qty 10 (BR-SO-11)'.</t>
        </is>
      </c>
      <c r="J17" s="16" t="inlineStr">
        <is>
          <t>POST /api/v1/deliveries</t>
        </is>
      </c>
      <c r="K17" s="16" t="inlineStr">
        <is>
          <t>SALES.DELIVERY.CREATE</t>
        </is>
      </c>
      <c r="L17" s="16" t="inlineStr"/>
      <c r="M17" s="17" t="inlineStr">
        <is>
          <t>Not Run</t>
        </is>
      </c>
      <c r="N17" s="17" t="inlineStr"/>
      <c r="O17" s="16" t="inlineStr"/>
      <c r="P17" s="16" t="inlineStr"/>
      <c r="Q17" s="16" t="inlineStr"/>
    </row>
    <row r="18">
      <c r="A18" s="18" t="inlineStr">
        <is>
          <t>O2C-016</t>
        </is>
      </c>
      <c r="B18" s="19" t="inlineStr">
        <is>
          <t>Delivery</t>
        </is>
      </c>
      <c r="C18" s="19" t="inlineStr">
        <is>
          <t>Deliver against DRAFT or CANCELLED SO is rejected</t>
        </is>
      </c>
      <c r="D18" s="8" t="inlineStr">
        <is>
          <t>Negative</t>
        </is>
      </c>
      <c r="E18" s="8" t="inlineStr">
        <is>
          <t>High</t>
        </is>
      </c>
      <c r="F18" s="19" t="inlineStr">
        <is>
          <t>A DRAFT SO and a CANCELLED SO. Logged in as ORG_ADMIN.</t>
        </is>
      </c>
      <c r="G18" s="19" t="inlineStr">
        <is>
          <t>1. Attempt POST /api/v1/deliveries referencing a DRAFT SO.
2. Attempt POST /api/v1/deliveries referencing a CANCELLED SO.</t>
        </is>
      </c>
      <c r="H18" s="19" t="inlineStr">
        <is>
          <t>DRAFT SO uid and CANCELLED SO uid.</t>
        </is>
      </c>
      <c r="I18" s="19" t="inlineStr">
        <is>
          <t>Both return HTTP 400 'Can only deliver against a CONFIRMED or PARTIALLY_FULFILLED order'.</t>
        </is>
      </c>
      <c r="J18" s="19" t="inlineStr">
        <is>
          <t>POST /api/v1/deliveries</t>
        </is>
      </c>
      <c r="K18" s="19" t="inlineStr">
        <is>
          <t>SALES.DELIVERY.CREATE</t>
        </is>
      </c>
      <c r="L18" s="19" t="inlineStr"/>
      <c r="M18" s="8" t="inlineStr">
        <is>
          <t>Not Run</t>
        </is>
      </c>
      <c r="N18" s="8" t="inlineStr"/>
      <c r="O18" s="19" t="inlineStr"/>
      <c r="P18" s="19" t="inlineStr"/>
      <c r="Q18" s="19" t="inlineStr"/>
    </row>
    <row r="19">
      <c r="A19" s="15" t="inlineStr">
        <is>
          <t>O2C-017</t>
        </is>
      </c>
      <c r="B19" s="16" t="inlineStr">
        <is>
          <t>Sales Invoice</t>
        </is>
      </c>
      <c r="C19" s="16" t="inlineStr">
        <is>
          <t>Generate DRAFT invoice from delivery (origin=SALES_ORDER)</t>
        </is>
      </c>
      <c r="D19" s="17" t="inlineStr">
        <is>
          <t>Positive</t>
        </is>
      </c>
      <c r="E19" s="17" t="inlineStr">
        <is>
          <t>High</t>
        </is>
      </c>
      <c r="F19" s="16" t="inlineStr">
        <is>
          <t>A CONFIRMED delivery with uninvoiced lines. Source SO carried a fixed docDiscountAmount. Logged in as ORG_ADMIN.</t>
        </is>
      </c>
      <c r="G19" s="16" t="inlineStr">
        <is>
          <t>1. From delivery detail, trigger 'Create invoice from delivery'.
2. Open the resulting DRAFT invoice.</t>
        </is>
      </c>
      <c r="H19" s="16" t="inlineStr">
        <is>
          <t>Confirmed delivery with uninvoiced lines.</t>
        </is>
      </c>
      <c r="I19" s="16" t="inlineStr">
        <is>
          <t>HTTP 201. DRAFT SalesInvoice with origin=SALES_ORDER. sourceOrderUid and sourceDeliveryUid set. Lines copied from delivery's open-invoice qty. SO's docDiscount pro-rated to delivered subset. Invoicing a delivery with no uninvoiced lines returns 400.</t>
        </is>
      </c>
      <c r="J19" s="16" t="inlineStr">
        <is>
          <t>POST /api/v1/deliveries/uid/{uid}/invoice</t>
        </is>
      </c>
      <c r="K19" s="16" t="inlineStr">
        <is>
          <t>SALES.DELIVERY.CREATE</t>
        </is>
      </c>
      <c r="L19" s="16" t="inlineStr"/>
      <c r="M19" s="17" t="inlineStr">
        <is>
          <t>Not Run</t>
        </is>
      </c>
      <c r="N19" s="17" t="inlineStr"/>
      <c r="O19" s="16" t="inlineStr"/>
      <c r="P19" s="16" t="inlineStr"/>
      <c r="Q19" s="16" t="inlineStr"/>
    </row>
    <row r="20">
      <c r="A20" s="18" t="inlineStr">
        <is>
          <t>O2C-018</t>
        </is>
      </c>
      <c r="B20" s="19" t="inlineStr">
        <is>
          <t>Sales Invoice</t>
        </is>
      </c>
      <c r="C20" s="19" t="inlineStr">
        <is>
          <t>Finalise SALES_ORDER-origin invoice (revenue-only, no stock re-issue; credit-limit check)</t>
        </is>
      </c>
      <c r="D20" s="8" t="inlineStr">
        <is>
          <t>Positive</t>
        </is>
      </c>
      <c r="E20" s="8" t="inlineStr">
        <is>
          <t>High</t>
        </is>
      </c>
      <c r="F20" s="19" t="inlineStr">
        <is>
          <t>DRAFT invoice from O2C-017 for a CREDIT_ACCOUNT customer.</t>
        </is>
      </c>
      <c r="G20" s="19" t="inlineStr">
        <is>
          <t>1. Open invoice detail; click 'Finalize'.
2. Verify status=FINALISED with an invoice number.
3. Test credit-limit exceeded without SALES.CREDIT.OVERRIDE permission.</t>
        </is>
      </c>
      <c r="H20" s="19" t="inlineStr">
        <is>
          <t>DRAFT SALES_ORDER-origin invoice. Credit customer with limit set lower than invoice gross.</t>
        </is>
      </c>
      <c r="I20" s="19" t="inlineStr">
        <is>
          <t>HTTP 204. status=FINALISED. Invoice number allocated. finalisedAt set. SALE.FINALISED event with issuesStock=false (stock already issued at delivery). Credit-limit exceeded without override returns 400; with SALES.CREDIT.OVERRIDE permission succeeds + audit.</t>
        </is>
      </c>
      <c r="J20" s="19" t="inlineStr">
        <is>
          <t>PUT /api/v1/sales-invoices/uid/{uid}/finalize</t>
        </is>
      </c>
      <c r="K20" s="19" t="inlineStr">
        <is>
          <t>SALES.INVOICE.CREATE | SALES.CREDIT.OVERRIDE</t>
        </is>
      </c>
      <c r="L20" s="19" t="inlineStr"/>
      <c r="M20" s="8" t="inlineStr">
        <is>
          <t>Not Run</t>
        </is>
      </c>
      <c r="N20" s="8" t="inlineStr"/>
      <c r="O20" s="19" t="inlineStr"/>
      <c r="P20" s="19" t="inlineStr"/>
      <c r="Q20" s="19" t="inlineStr"/>
    </row>
    <row r="21">
      <c r="A21" s="15" t="inlineStr">
        <is>
          <t>O2C-019</t>
        </is>
      </c>
      <c r="B21" s="16" t="inlineStr">
        <is>
          <t>Sales Invoice</t>
        </is>
      </c>
      <c r="C21" s="16" t="inlineStr">
        <is>
          <t>Create DIRECT walk-in invoice (CASH_WALK_IN customer, origin=DIRECT)</t>
        </is>
      </c>
      <c r="D21" s="17" t="inlineStr">
        <is>
          <t>Positive</t>
        </is>
      </c>
      <c r="E21" s="17" t="inlineStr">
        <is>
          <t>High</t>
        </is>
      </c>
      <c r="F21" s="16" t="inlineStr">
        <is>
          <t>Company with branch. A CASH_WALK_IN customer. Logged-in user has an internal agent. Logged in as ORG_ADMIN.</t>
        </is>
      </c>
      <c r="G21" s="16" t="inlineStr">
        <is>
          <t>1. Navigate to /admin/sales-invoices; open create form.
2. Pick customer by name (optionally pick agent and route via pickers). Submit.</t>
        </is>
      </c>
      <c r="H21" s="16" t="inlineStr">
        <is>
          <t>customer='Walk-in Joe (CUST-0009)', currency=TZS.</t>
        </is>
      </c>
      <c r="I21" s="16" t="inlineStr">
        <is>
          <t>HTTP 201. DRAFT invoice with origin=DIRECT. No number yet. Agent auto-resolved from logged-in user's internal agent when omitted. Creating in unassigned branch returns 403.</t>
        </is>
      </c>
      <c r="J21" s="16" t="inlineStr">
        <is>
          <t>/admin/sales-invoices | POST /api/v1/sales-invoices</t>
        </is>
      </c>
      <c r="K21" s="16" t="inlineStr">
        <is>
          <t>SALES.INVOICE.CREATE</t>
        </is>
      </c>
      <c r="L21" s="16" t="inlineStr"/>
      <c r="M21" s="17" t="inlineStr">
        <is>
          <t>Not Run</t>
        </is>
      </c>
      <c r="N21" s="17" t="inlineStr"/>
      <c r="O21" s="16" t="inlineStr"/>
      <c r="P21" s="16" t="inlineStr"/>
      <c r="Q21" s="16" t="inlineStr"/>
    </row>
    <row r="22">
      <c r="A22" s="18" t="inlineStr">
        <is>
          <t>O2C-020</t>
        </is>
      </c>
      <c r="B22" s="19" t="inlineStr">
        <is>
          <t>Sales Invoice</t>
        </is>
      </c>
      <c r="C22" s="19" t="inlineStr">
        <is>
          <t>Add GOODS line (line discount amount) to DIRECT invoice</t>
        </is>
      </c>
      <c r="D22" s="8" t="inlineStr">
        <is>
          <t>Positive</t>
        </is>
      </c>
      <c r="E22" s="8" t="inlineStr">
        <is>
          <t>High</t>
        </is>
      </c>
      <c r="F22" s="19" t="inlineStr">
        <is>
          <t>DRAFT DIRECT invoice (O2C-019). Sellable GOODS product with company price and VAT rate.</t>
        </is>
      </c>
      <c r="G22" s="19" t="inlineStr">
        <is>
          <t>1. On invoice detail, search+select product by name; choose unit; qty=3; discountAmount=500. Add.</t>
        </is>
      </c>
      <c r="H22" s="19" t="inlineStr">
        <is>
          <t>GOODS product qty=3, discountAmount=500.</t>
        </is>
      </c>
      <c r="I22" s="19" t="inlineStr">
        <is>
          <t>HTTP 201. Line added with server-computed net/VAT/gross. Invoice totals recompute. Setting both discountAmount and discountPercent returns 400. Adding line to FINALISED invoice returns 400.</t>
        </is>
      </c>
      <c r="J22" s="19" t="inlineStr">
        <is>
          <t>POST /api/v1/sales-invoices/uid/{uid}/lines</t>
        </is>
      </c>
      <c r="K22" s="19" t="inlineStr">
        <is>
          <t>SALES.INVOICE.CREATE</t>
        </is>
      </c>
      <c r="L22" s="19" t="inlineStr"/>
      <c r="M22" s="8" t="inlineStr">
        <is>
          <t>Not Run</t>
        </is>
      </c>
      <c r="N22" s="8" t="inlineStr"/>
      <c r="O22" s="19" t="inlineStr"/>
      <c r="P22" s="19" t="inlineStr"/>
      <c r="Q22" s="19" t="inlineStr"/>
    </row>
    <row r="23">
      <c r="A23" s="15" t="inlineStr">
        <is>
          <t>O2C-021</t>
        </is>
      </c>
      <c r="B23" s="16" t="inlineStr">
        <is>
          <t>Sales Invoice</t>
        </is>
      </c>
      <c r="C23" s="16" t="inlineStr">
        <is>
          <t>Add CASH payment; add MOBILE_MONEY payment; reject invalid tender/currency</t>
        </is>
      </c>
      <c r="D23" s="17" t="inlineStr">
        <is>
          <t>Positive</t>
        </is>
      </c>
      <c r="E23" s="17" t="inlineStr">
        <is>
          <t>High</t>
        </is>
      </c>
      <c r="F23" s="16" t="inlineStr">
        <is>
          <t>DRAFT DIRECT invoice with lines. Logged in as ORG_ADMIN.</t>
        </is>
      </c>
      <c r="G23" s="16" t="inlineStr">
        <is>
          <t>1. Payments panel: tender=CASH, amount=invoice gross, add (HTTP 201).
2. Remove the payment; add with tender=MOBILE_MONEY, amount=partial, reference='MPESA-ABC123' (HTTP 201).
3. Attempt payment with amount=0 — expect 400.
4. Attempt payment with currency different from invoice currency — expect 400.</t>
        </is>
      </c>
      <c r="H23" s="16" t="inlineStr">
        <is>
          <t>Full gross amount in TZS. MOBILE_MONEY reference='MPESA-ABC123'. Invalid: amount=0, wrong currency.</t>
        </is>
      </c>
      <c r="I23" s="16" t="inlineStr">
        <is>
          <t>Step 1 and 2: HTTP 201 each. Step 3: 400 (@Positive). Step 4: 400 'Payment currency does not match (BR-CUR-07)'. SETTLE permission is distinct from CREATE.</t>
        </is>
      </c>
      <c r="J23" s="16" t="inlineStr">
        <is>
          <t>POST /api/v1/sales-invoices/uid/{uid}/payments</t>
        </is>
      </c>
      <c r="K23" s="16" t="inlineStr">
        <is>
          <t>SALES.INVOICE.SETTLE</t>
        </is>
      </c>
      <c r="L23" s="16" t="inlineStr"/>
      <c r="M23" s="17" t="inlineStr">
        <is>
          <t>Not Run</t>
        </is>
      </c>
      <c r="N23" s="17" t="inlineStr"/>
      <c r="O23" s="16" t="inlineStr"/>
      <c r="P23" s="16" t="inlineStr"/>
      <c r="Q23" s="16" t="inlineStr"/>
    </row>
    <row r="24">
      <c r="A24" s="18" t="inlineStr">
        <is>
          <t>O2C-022</t>
        </is>
      </c>
      <c r="B24" s="19" t="inlineStr">
        <is>
          <t>Sales Invoice</t>
        </is>
      </c>
      <c r="C24" s="19" t="inlineStr">
        <is>
          <t>Finalise DIRECT walk-in invoice — paid-in-full enforced for CASH_WALK_IN (issuesStock=true)</t>
        </is>
      </c>
      <c r="D24" s="8" t="inlineStr">
        <is>
          <t>Positive</t>
        </is>
      </c>
      <c r="E24" s="8" t="inlineStr">
        <is>
          <t>High</t>
        </is>
      </c>
      <c r="F24" s="19" t="inlineStr">
        <is>
          <t>DRAFT DIRECT invoice for a CASH_WALK_IN customer, fully paid (O2C-021). GOODS lines present.</t>
        </is>
      </c>
      <c r="G24" s="19" t="inlineStr">
        <is>
          <t>1. Click 'Finalize'.
2. Verify status=FINALISED, invoice number allocated, stock issued.</t>
        </is>
      </c>
      <c r="H24" s="19" t="inlineStr">
        <is>
          <t>CASH_WALK_IN DRAFT DIRECT invoice fully paid.</t>
        </is>
      </c>
      <c r="I24" s="19" t="inlineStr">
        <is>
          <t>HTTP 204. status=FINALISED. SALE.FINALISED with issuesStock=true (DIRECT issues stock). Finalising a CASH_WALK_IN invoice not paid in full returns 400 (BR-SALES-07 assertPaidInFull). Finalising with zero lines returns 400.</t>
        </is>
      </c>
      <c r="J24" s="19" t="inlineStr">
        <is>
          <t>PUT /api/v1/sales-invoices/uid/{uid}/finalize</t>
        </is>
      </c>
      <c r="K24" s="19" t="inlineStr">
        <is>
          <t>SALES.INVOICE.CREATE</t>
        </is>
      </c>
      <c r="L24" s="19" t="inlineStr"/>
      <c r="M24" s="8" t="inlineStr">
        <is>
          <t>Not Run</t>
        </is>
      </c>
      <c r="N24" s="8" t="inlineStr"/>
      <c r="O24" s="19" t="inlineStr"/>
      <c r="P24" s="19" t="inlineStr"/>
      <c r="Q24" s="19" t="inlineStr"/>
    </row>
    <row r="25">
      <c r="A25" s="15" t="inlineStr">
        <is>
          <t>O2C-023</t>
        </is>
      </c>
      <c r="B25" s="16" t="inlineStr">
        <is>
          <t>Sales Invoice</t>
        </is>
      </c>
      <c r="C25" s="16" t="inlineStr">
        <is>
          <t>Remove payment from DRAFT invoice; SETTLE-only user cannot delete payment</t>
        </is>
      </c>
      <c r="D25" s="17" t="inlineStr">
        <is>
          <t>Negative</t>
        </is>
      </c>
      <c r="E25" s="17" t="inlineStr">
        <is>
          <t>Medium</t>
        </is>
      </c>
      <c r="F25" s="16" t="inlineStr">
        <is>
          <t>DRAFT invoice with a payment. A user with SALES.INVOICE.SETTLE but NOT SALES.INVOICE.CREATE.</t>
        </is>
      </c>
      <c r="G25" s="16" t="inlineStr">
        <is>
          <t>1. As ORG_ADMIN: remove a payment from a DRAFT invoice (HTTP 204).
2. As SETTLE-only user: attempt DELETE /api/v1/sales-invoices/uid/{uid}/payments/{paymentUid}.</t>
        </is>
      </c>
      <c r="H25" s="16" t="inlineStr">
        <is>
          <t>DRAFT invoice with payment. SETTLE-only custom role user.</t>
        </is>
      </c>
      <c r="I25" s="16" t="inlineStr">
        <is>
          <t>Step 1: HTTP 204; payment removed. Step 2: HTTP 403 — removePayment is gated by SALES.INVOICE.CREATE, NOT SETTLE.</t>
        </is>
      </c>
      <c r="J25" s="16" t="inlineStr">
        <is>
          <t>DELETE /api/v1/sales-invoices/uid/{uid}/payments/{paymentUid}</t>
        </is>
      </c>
      <c r="K25" s="16" t="inlineStr">
        <is>
          <t>SALES.INVOICE.CREATE (not SALES.INVOICE.SETTLE)</t>
        </is>
      </c>
      <c r="L25" s="16" t="inlineStr"/>
      <c r="M25" s="17" t="inlineStr">
        <is>
          <t>Not Run</t>
        </is>
      </c>
      <c r="N25" s="17" t="inlineStr"/>
      <c r="O25" s="16" t="inlineStr"/>
      <c r="P25" s="16" t="inlineStr"/>
      <c r="Q25" s="16" t="inlineStr"/>
    </row>
    <row r="26">
      <c r="A26" s="18" t="inlineStr">
        <is>
          <t>O2C-024</t>
        </is>
      </c>
      <c r="B26" s="19" t="inlineStr">
        <is>
          <t>Sales Invoice</t>
        </is>
      </c>
      <c r="C26" s="19" t="inlineStr">
        <is>
          <t>Void a finalised invoice (FINALISED → VOID)</t>
        </is>
      </c>
      <c r="D26" s="8" t="inlineStr">
        <is>
          <t>Positive</t>
        </is>
      </c>
      <c r="E26" s="8" t="inlineStr">
        <is>
          <t>High</t>
        </is>
      </c>
      <c r="F26" s="19" t="inlineStr">
        <is>
          <t>A FINALISED invoice. Logged in as ORG_ADMIN.</t>
        </is>
      </c>
      <c r="G26" s="19" t="inlineStr">
        <is>
          <t>1. Open void form; enter reason='Wrong customer'. Submit.</t>
        </is>
      </c>
      <c r="H26" s="19" t="inlineStr">
        <is>
          <t>reason='Wrong customer'.</t>
        </is>
      </c>
      <c r="I26" s="19" t="inlineStr">
        <is>
          <t>HTTP 204. status=VOID. Invoice number retained (void != delete). Reversing AR credit note and stock/GL reversals raised. Voiding a DRAFT returns 400. Voiding an already-VOID returns 400. Missing reason returns 400 (@NotBlank).</t>
        </is>
      </c>
      <c r="J26" s="19" t="inlineStr">
        <is>
          <t>PUT /api/v1/sales-invoices/uid/{uid}/void</t>
        </is>
      </c>
      <c r="K26" s="19" t="inlineStr">
        <is>
          <t>SALES.INVOICE.VOID</t>
        </is>
      </c>
      <c r="L26" s="19" t="inlineStr"/>
      <c r="M26" s="8" t="inlineStr">
        <is>
          <t>Not Run</t>
        </is>
      </c>
      <c r="N26" s="8" t="inlineStr"/>
      <c r="O26" s="19" t="inlineStr"/>
      <c r="P26" s="19" t="inlineStr"/>
      <c r="Q26" s="19" t="inlineStr"/>
    </row>
    <row r="27">
      <c r="A27" s="15" t="inlineStr">
        <is>
          <t>O2C-025</t>
        </is>
      </c>
      <c r="B27" s="16" t="inlineStr">
        <is>
          <t>Sales Invoice</t>
        </is>
      </c>
      <c r="C27" s="16" t="inlineStr">
        <is>
          <t>Illegal invoice transitions matrix</t>
        </is>
      </c>
      <c r="D27" s="17" t="inlineStr">
        <is>
          <t>Negative</t>
        </is>
      </c>
      <c r="E27" s="17" t="inlineStr">
        <is>
          <t>Medium</t>
        </is>
      </c>
      <c r="F27" s="16" t="inlineStr">
        <is>
          <t>Invoices in DRAFT, FINALISED, VOID states.</t>
        </is>
      </c>
      <c r="G27" s="16" t="inlineStr">
        <is>
          <t>1. Finalise a FINALISED/VOID invoice.
2. Void a DRAFT/VOID invoice.
3. Add/remove line or payment on a FINALISED/VOID invoice.</t>
        </is>
      </c>
      <c r="H27" s="16" t="inlineStr">
        <is>
          <t>Invoices in each status.</t>
        </is>
      </c>
      <c r="I27" s="16" t="inlineStr">
        <is>
          <t>Every illegal action returns HTTP 400 with descriptive errors[]. No state change.</t>
        </is>
      </c>
      <c r="J27" s="16" t="inlineStr">
        <is>
          <t>PUT /api/v1/sales-invoices/uid/{uid}/finalize | /void | POST/DELETE .../lines | .../payments</t>
        </is>
      </c>
      <c r="K27" s="16" t="inlineStr">
        <is>
          <t>SALES.INVOICE.CREATE | SALES.INVOICE.VOID</t>
        </is>
      </c>
      <c r="L27" s="16" t="inlineStr"/>
      <c r="M27" s="17" t="inlineStr">
        <is>
          <t>Not Run</t>
        </is>
      </c>
      <c r="N27" s="17" t="inlineStr"/>
      <c r="O27" s="16" t="inlineStr"/>
      <c r="P27" s="16" t="inlineStr"/>
      <c r="Q27" s="16" t="inlineStr"/>
    </row>
    <row r="28">
      <c r="A28" s="18" t="inlineStr">
        <is>
          <t>O2C-026</t>
        </is>
      </c>
      <c r="B28" s="19" t="inlineStr">
        <is>
          <t>Sales Return</t>
        </is>
      </c>
      <c r="C28" s="19" t="inlineStr">
        <is>
          <t>Create partial sales return against a delivery (CONFIRMED, raises credit note)</t>
        </is>
      </c>
      <c r="D28" s="8" t="inlineStr">
        <is>
          <t>Positive</t>
        </is>
      </c>
      <c r="E28" s="8" t="inlineStr">
        <is>
          <t>High</t>
        </is>
      </c>
      <c r="F28" s="19" t="inlineStr">
        <is>
          <t>A CONFIRMED delivery with delivered line qty=10. Logged in as ORG_ADMIN.</t>
        </is>
      </c>
      <c r="G28" s="19" t="inlineStr">
        <is>
          <t>1. Navigate to /admin/sales-returns/create for the delivery (selected by delivery number).
2. Pick delivery line; set qtyReturned=4; returnDate=today; reason='Damaged on arrival'. Submit.</t>
        </is>
      </c>
      <c r="H28" s="19" t="inlineStr">
        <is>
          <t>returnDate=today, qtyReturned=4, reason='Damaged on arrival'.</t>
        </is>
      </c>
      <c r="I28" s="19" t="inlineStr">
        <is>
          <t>HTTP 201. Return created in CONFIRMED status with RET-#### number. Stock returned in. COGS reversal event. AR credit note (origin=RETURN) raised synchronously, pro-rated. Empty lines returns 400. qtyReturned&gt;deliverable returns 400 (BR-SO-11).</t>
        </is>
      </c>
      <c r="J28" s="19" t="inlineStr">
        <is>
          <t>/admin/sales-returns/create | POST /api/v1/sales-returns</t>
        </is>
      </c>
      <c r="K28" s="19" t="inlineStr">
        <is>
          <t>SALES.RETURN.CREATE</t>
        </is>
      </c>
      <c r="L28" s="19" t="inlineStr"/>
      <c r="M28" s="8" t="inlineStr">
        <is>
          <t>Not Run</t>
        </is>
      </c>
      <c r="N28" s="8" t="inlineStr"/>
      <c r="O28" s="19" t="inlineStr"/>
      <c r="P28" s="19" t="inlineStr"/>
      <c r="Q28" s="19" t="inlineStr"/>
    </row>
    <row r="29">
      <c r="A29" s="15" t="inlineStr">
        <is>
          <t>O2C-027</t>
        </is>
      </c>
      <c r="B29" s="16" t="inlineStr">
        <is>
          <t>Sales Return</t>
        </is>
      </c>
      <c r="C29" s="16" t="inlineStr">
        <is>
          <t>Over-return blocked after partial return exhausts returnable qty</t>
        </is>
      </c>
      <c r="D29" s="17" t="inlineStr">
        <is>
          <t>Negative</t>
        </is>
      </c>
      <c r="E29" s="17" t="inlineStr">
        <is>
          <t>Medium</t>
        </is>
      </c>
      <c r="F29" s="16" t="inlineStr">
        <is>
          <t>Delivery line qty=10. Prior partial return of qty=4 completed.</t>
        </is>
      </c>
      <c r="G29" s="16" t="inlineStr">
        <is>
          <t>1. Create second return for remaining qty=6 (succeeds, returnable=6).
2. Attempt third return for any qty&gt;0 (returnable=0).</t>
        </is>
      </c>
      <c r="H29" s="16" t="inlineStr">
        <is>
          <t>Delivery line qty=10. Prior return qty=4. Second return qty=6. Third return any qty.</t>
        </is>
      </c>
      <c r="I29" s="16" t="inlineStr">
        <is>
          <t>Step 1: HTTP 201. Step 2: HTTP 400 'Return qty exceeds returnable qty 0 (BR-SO-11)'. returnedQtyBase accumulates across returns.</t>
        </is>
      </c>
      <c r="J29" s="16" t="inlineStr">
        <is>
          <t>POST /api/v1/sales-returns</t>
        </is>
      </c>
      <c r="K29" s="16" t="inlineStr">
        <is>
          <t>SALES.RETURN.CREATE</t>
        </is>
      </c>
      <c r="L29" s="16" t="inlineStr"/>
      <c r="M29" s="17" t="inlineStr">
        <is>
          <t>Not Run</t>
        </is>
      </c>
      <c r="N29" s="17" t="inlineStr"/>
      <c r="O29" s="16" t="inlineStr"/>
      <c r="P29" s="16" t="inlineStr"/>
      <c r="Q29" s="16" t="inlineStr"/>
    </row>
    <row r="30">
      <c r="A30" s="18" t="inlineStr">
        <is>
          <t>O2C-028</t>
        </is>
      </c>
      <c r="B30" s="19" t="inlineStr">
        <is>
          <t>O2C End-to-End</t>
        </is>
      </c>
      <c r="C30" s="19" t="inlineStr">
        <is>
          <t>Full O2C via quotation: Quote→Accept→SO→Confirm→Deliver(full)→Invoice→Finalise (CREDIT_ACCOUNT)</t>
        </is>
      </c>
      <c r="D30" s="8" t="inlineStr">
        <is>
          <t>Positive</t>
        </is>
      </c>
      <c r="E30" s="8" t="inlineStr">
        <is>
          <t>High</t>
        </is>
      </c>
      <c r="F30" s="19" t="inlineStr">
        <is>
          <t>Company with default branch. CREDIT_ACCOUNT customer (high credit limit). Sellable GOODS product with price/VAT/stock. Internal agent for logged-in user. All SALES.* O2C permissions. Logged in as ORG_ADMIN.</t>
        </is>
      </c>
      <c r="G30" s="19" t="inlineStr">
        <is>
          <t>1. Create quotation (customer picker), add GOODS line with 5% line discount + 2% doc discount, send, accept → SO created.
2. Confirm SO (stock reserved).
3. Create full delivery → SO FULFILLED, stock issued.
4. Generate invoice from delivery → DRAFT (origin=SALES_ORDER), finalise → SO CLOSED.</t>
        </is>
      </c>
      <c r="H30" s="19" t="inlineStr">
        <is>
          <t>CREDIT_ACCOUNT customer. GOODS line qty=10, lineDiscountPercent=5, docDiscountPercent=2.</t>
        </is>
      </c>
      <c r="I30" s="19" t="inlineStr">
        <is>
          <t>Each step transitions as documented. Final SO=CLOSED. Invoice FINALISED with number. AR open item for credit customer. Discounts pro-rated correctly through the chain. Each resource chosen via picker by name — no uid typed.</t>
        </is>
      </c>
      <c r="J30" s="19" t="inlineStr">
        <is>
          <t>/admin/quotations | /admin/sales-orders | /admin/deliveries | /admin/sales-invoices</t>
        </is>
      </c>
      <c r="K30" s="19" t="inlineStr">
        <is>
          <t>SALES.QUOTE.CREATE | SALES.QUOTE.SEND | SALES.QUOTE.ACCEPT | SALES.ORDER.CONFIRM | SALES.DELIVERY.CREATE | SALES.INVOICE.CREATE</t>
        </is>
      </c>
      <c r="L30" s="19" t="inlineStr"/>
      <c r="M30" s="8" t="inlineStr">
        <is>
          <t>Not Run</t>
        </is>
      </c>
      <c r="N30" s="8" t="inlineStr"/>
      <c r="O30" s="19" t="inlineStr"/>
      <c r="P30" s="19" t="inlineStr"/>
      <c r="Q30" s="19" t="inlineStr"/>
    </row>
    <row r="31">
      <c r="A31" s="15" t="inlineStr">
        <is>
          <t>O2C-029</t>
        </is>
      </c>
      <c r="B31" s="16" t="inlineStr">
        <is>
          <t>O2C End-to-End</t>
        </is>
      </c>
      <c r="C31" s="16" t="inlineStr">
        <is>
          <t>DIRECT walk-in invoice → lines → CASH payment → Finalise (CASH_WALK_IN), then VOID</t>
        </is>
      </c>
      <c r="D31" s="17" t="inlineStr">
        <is>
          <t>Positive</t>
        </is>
      </c>
      <c r="E31" s="17" t="inlineStr">
        <is>
          <t>High</t>
        </is>
      </c>
      <c r="F31" s="16" t="inlineStr">
        <is>
          <t>CASH_WALK_IN customer. Sellable GOODS product with price/VAT/stock. Logged-in user has internal agent. ORG_ADMIN.</t>
        </is>
      </c>
      <c r="G31" s="16" t="inlineStr">
        <is>
          <t>1. Create DIRECT invoice (customer picker), add a GOODS line.
2. Add CASH payment for the full gross.
3. Finalise (paid-in-full passes; stock issued).
4. Void the finalised invoice with a reason.</t>
        </is>
      </c>
      <c r="H31" s="16" t="inlineStr">
        <is>
          <t>CASH_WALK_IN customer. GOODS product qty=3. Full CASH payment.</t>
        </is>
      </c>
      <c r="I31" s="16" t="inlineStr">
        <is>
          <t>Invoice FINALISED with number + stock issued. Then VOID with number retained + reversing credit note/stock/GL. Finalising before full payment returns 400. Voiding before finalise returns 400.</t>
        </is>
      </c>
      <c r="J31" s="16" t="inlineStr">
        <is>
          <t>/admin/sales-invoices | PUT .../finalize | PUT .../void</t>
        </is>
      </c>
      <c r="K31" s="16" t="inlineStr">
        <is>
          <t>SALES.INVOICE.CREATE | SALES.INVOICE.SETTLE | SALES.INVOICE.VOID</t>
        </is>
      </c>
      <c r="L31" s="16" t="inlineStr"/>
      <c r="M31" s="17" t="inlineStr">
        <is>
          <t>Not Run</t>
        </is>
      </c>
      <c r="N31" s="17" t="inlineStr"/>
      <c r="O31" s="16" t="inlineStr"/>
      <c r="P31" s="16" t="inlineStr"/>
      <c r="Q31" s="16" t="inlineStr"/>
    </row>
    <row r="32">
      <c r="A32" s="18" t="inlineStr">
        <is>
          <t>O2C-030</t>
        </is>
      </c>
      <c r="B32" s="19" t="inlineStr">
        <is>
          <t>RBAC &amp; Scoping</t>
        </is>
      </c>
      <c r="C32" s="19" t="inlineStr">
        <is>
          <t>NO-PERMISSION user: empty nav + forbidden routes across all O2C screens</t>
        </is>
      </c>
      <c r="D32" s="8" t="inlineStr">
        <is>
          <t>Permission</t>
        </is>
      </c>
      <c r="E32" s="8" t="inlineStr">
        <is>
          <t>High</t>
        </is>
      </c>
      <c r="F32" s="19" t="inlineStr">
        <is>
          <t>A user with zero SALES.* permissions assigned to a branch.</t>
        </is>
      </c>
      <c r="G32" s="19" t="inlineStr">
        <is>
          <t>1. Log in; inspect shell nav — all Sales items hidden.
2. Directly navigate to each O2C route: /admin/quotations, /admin/sales-orders, /admin/deliveries, /admin/sales-invoices, /admin/sales-returns.
3. Call any O2C API directly.</t>
        </is>
      </c>
      <c r="H32" s="19" t="inlineStr">
        <is>
          <t>NO-PERMISSION user.</t>
        </is>
      </c>
      <c r="I32" s="19" t="inlineStr">
        <is>
          <t>All Sales nav items hidden. Direct navigation blocked by requirePermission guard (forbidden screen). All API calls return HTTP 403 with ApiResponse errors[].</t>
        </is>
      </c>
      <c r="J32" s="19" t="inlineStr">
        <is>
          <t>/admin/quotations | /admin/sales-orders | /admin/deliveries | /admin/sales-invoices | /admin/sales-returns</t>
        </is>
      </c>
      <c r="K32" s="19" t="inlineStr">
        <is>
          <t>None (all SALES.* codes absent)</t>
        </is>
      </c>
      <c r="L32" s="19" t="inlineStr"/>
      <c r="M32" s="8" t="inlineStr">
        <is>
          <t>Not Run</t>
        </is>
      </c>
      <c r="N32" s="8" t="inlineStr"/>
      <c r="O32" s="19" t="inlineStr"/>
      <c r="P32" s="19" t="inlineStr"/>
      <c r="Q32" s="19" t="inlineStr"/>
    </row>
    <row r="33">
      <c r="A33" s="15" t="inlineStr">
        <is>
          <t>O2C-031</t>
        </is>
      </c>
      <c r="B33" s="16" t="inlineStr">
        <is>
          <t>RBAC &amp; Scoping</t>
        </is>
      </c>
      <c r="C33" s="16" t="inlineStr">
        <is>
          <t>Branch scoping: act in an unassigned branch is denied</t>
        </is>
      </c>
      <c r="D33" s="17" t="inlineStr">
        <is>
          <t>Permission</t>
        </is>
      </c>
      <c r="E33" s="17" t="inlineStr">
        <is>
          <t>High</t>
        </is>
      </c>
      <c r="F33" s="16" t="inlineStr">
        <is>
          <t>Multi-branch company. User assigned to branch A only. Documents in branch B.</t>
        </is>
      </c>
      <c r="G33" s="16" t="inlineStr">
        <is>
          <t>1. Switch active branch (X-Branch-Uid) to branch B (unassigned).
2. Attempt to create a quotation / SO / invoice or confirm an SO in branch B.</t>
        </is>
      </c>
      <c r="H33" s="16" t="inlineStr">
        <is>
          <t>User assigned to branch A only. Branch B uid in X-Branch-Uid header.</t>
        </is>
      </c>
      <c r="I33" s="16" t="inlineStr">
        <is>
          <t>HTTP 403 (ScopeGuard denies acting in unassigned branch). User assigned to all branches succeeds in any; switching to an assigned branch then acting succeeds.</t>
        </is>
      </c>
      <c r="J33" s="16" t="inlineStr">
        <is>
          <t>POST /api/v1/quotations | POST /api/v1/sales-orders | PUT /api/v1/sales-orders/uid/{uid}/confirm</t>
        </is>
      </c>
      <c r="K33" s="16" t="inlineStr">
        <is>
          <t>SALES.ORDER.CREATE | SALES.ORDER.CONFIRM</t>
        </is>
      </c>
      <c r="L33" s="16" t="inlineStr"/>
      <c r="M33" s="17" t="inlineStr">
        <is>
          <t>Not Run</t>
        </is>
      </c>
      <c r="N33" s="17" t="inlineStr"/>
      <c r="O33" s="16" t="inlineStr"/>
      <c r="P33" s="16" t="inlineStr"/>
      <c r="Q33" s="16" t="inlineStr"/>
    </row>
    <row r="34">
      <c r="A34" s="18" t="inlineStr">
        <is>
          <t>O2C-032</t>
        </is>
      </c>
      <c r="B34" s="19" t="inlineStr">
        <is>
          <t>RBAC &amp; Scoping</t>
        </is>
      </c>
      <c r="C34" s="19" t="inlineStr">
        <is>
          <t>Multi-tenant O2C isolation: tenant B cannot see tenant A documents</t>
        </is>
      </c>
      <c r="D34" s="8" t="inlineStr">
        <is>
          <t>Negative</t>
        </is>
      </c>
      <c r="E34" s="8" t="inlineStr">
        <is>
          <t>High</t>
        </is>
      </c>
      <c r="F34" s="19" t="inlineStr">
        <is>
          <t>Two organisations each with quotations, SOs, deliveries, invoices, returns.</t>
        </is>
      </c>
      <c r="G34" s="19" t="inlineStr">
        <is>
          <t>1. As tenant B ORG_ADMIN, attempt to list tenant A's documents.
2. Attempt GET /api/v1/sales-orders/uid/{A-order-uid} as tenant B user.
3. Verify customer/product/agent pickers in tenant B show only tenant B data.</t>
        </is>
      </c>
      <c r="H34" s="19" t="inlineStr">
        <is>
          <t>Tenant A and tenant B separate document sets.</t>
        </is>
      </c>
      <c r="I34" s="19" t="inlineStr">
        <is>
          <t>Tenant B never sees tenant A's rows in any list. GET of a foreign uid returns 403/404. Pickers are scoped to the active company.</t>
        </is>
      </c>
      <c r="J34" s="19" t="inlineStr">
        <is>
          <t>GET /api/v1/quotations | /api/v1/sales-orders | /api/v1/deliveries | /api/v1/sales-invoices | /api/v1/sales-returns</t>
        </is>
      </c>
      <c r="K34" s="19" t="inlineStr">
        <is>
          <t>SALES.ORDER.VIEW</t>
        </is>
      </c>
      <c r="L34" s="19" t="inlineStr"/>
      <c r="M34" s="8" t="inlineStr">
        <is>
          <t>Not Run</t>
        </is>
      </c>
      <c r="N34" s="8" t="inlineStr"/>
      <c r="O34" s="19" t="inlineStr"/>
      <c r="P34" s="19" t="inlineStr"/>
      <c r="Q34" s="19" t="inlineStr"/>
    </row>
    <row r="35">
      <c r="A35" s="15" t="inlineStr">
        <is>
          <t>O2C-033</t>
        </is>
      </c>
      <c r="B35" s="16" t="inlineStr">
        <is>
          <t>Quotation</t>
        </is>
      </c>
      <c r="C35" s="16" t="inlineStr">
        <is>
          <t>Quotation list: filter by status and date range; paginator</t>
        </is>
      </c>
      <c r="D35" s="17" t="inlineStr">
        <is>
          <t>Positive</t>
        </is>
      </c>
      <c r="E35" s="17" t="inlineStr">
        <is>
          <t>Medium</t>
        </is>
      </c>
      <c r="F35" s="16" t="inlineStr">
        <is>
          <t>Company with 25+ quotations across DRAFT, SENT, ACCEPTED, REJECTED, EXPIRED.</t>
        </is>
      </c>
      <c r="G35" s="16" t="inlineStr">
        <is>
          <t>1. Navigate to /admin/quotations; filter by status=SENT.
2. Filter by dateFrom=today-30, dateTo=today.
3. Clear filters; exercise paginator.</t>
        </is>
      </c>
      <c r="H35" s="16" t="inlineStr">
        <is>
          <t>25+ quotations across statuses.</t>
        </is>
      </c>
      <c r="I35" s="16" t="inlineStr">
        <is>
          <t>Status filter scopes list. Date filter applies. Combined filters are ANDed. Paginator full control set; page resets to 0 on new filter.</t>
        </is>
      </c>
      <c r="J35" s="16" t="inlineStr">
        <is>
          <t>/admin/quotations | GET /api/v1/quotations?status=&amp;dateFrom=&amp;dateTo=&amp;page=&amp;size=</t>
        </is>
      </c>
      <c r="K35" s="16" t="inlineStr">
        <is>
          <t>SALES.QUOTE.VIEW</t>
        </is>
      </c>
      <c r="L35" s="16" t="inlineStr"/>
      <c r="M35" s="17" t="inlineStr">
        <is>
          <t>Not Run</t>
        </is>
      </c>
      <c r="N35" s="17" t="inlineStr"/>
      <c r="O35" s="16" t="inlineStr"/>
      <c r="P35" s="16" t="inlineStr"/>
      <c r="Q35" s="16" t="inlineStr"/>
    </row>
    <row r="36">
      <c r="A36" s="18" t="inlineStr">
        <is>
          <t>O2C-034</t>
        </is>
      </c>
      <c r="B36" s="19" t="inlineStr">
        <is>
          <t>Quotation</t>
        </is>
      </c>
      <c r="C36" s="19" t="inlineStr">
        <is>
          <t>Expired-validUntil SENT quotation auto-flips to EXPIRED on accept attempt</t>
        </is>
      </c>
      <c r="D36" s="8" t="inlineStr">
        <is>
          <t>Negative</t>
        </is>
      </c>
      <c r="E36" s="8" t="inlineStr">
        <is>
          <t>Medium</t>
        </is>
      </c>
      <c r="F36" s="19" t="inlineStr">
        <is>
          <t>A SENT quotation with validUntil=yesterday. Logged in as ORG_ADMIN.</t>
        </is>
      </c>
      <c r="G36" s="19" t="inlineStr">
        <is>
          <t>1. Open the quotation detail.
2. Attempt to click Accept.</t>
        </is>
      </c>
      <c r="H36" s="19" t="inlineStr">
        <is>
          <t>validUntil=yesterday.</t>
        </is>
      </c>
      <c r="I36" s="19" t="inlineStr">
        <is>
          <t>Backend auto-transitions to EXPIRED; Accept returns HTTP 400 'Quotation has expired'. Next detail load shows badge EXPIRED. Expired quotation cannot be sent, rejected, or have lines added.</t>
        </is>
      </c>
      <c r="J36" s="19" t="inlineStr">
        <is>
          <t>PUT /api/v1/quotations/uid/{uid}/accept</t>
        </is>
      </c>
      <c r="K36" s="19" t="inlineStr">
        <is>
          <t>SALES.QUOTE.ACCEPT</t>
        </is>
      </c>
      <c r="L36" s="19" t="inlineStr"/>
      <c r="M36" s="8" t="inlineStr">
        <is>
          <t>Not Run</t>
        </is>
      </c>
      <c r="N36" s="8" t="inlineStr"/>
      <c r="O36" s="19" t="inlineStr"/>
      <c r="P36" s="19" t="inlineStr"/>
      <c r="Q36" s="19" t="inlineStr"/>
    </row>
    <row r="37">
      <c r="A37" s="15" t="inlineStr">
        <is>
          <t>O2C-035</t>
        </is>
      </c>
      <c r="B37" s="16" t="inlineStr">
        <is>
          <t>Sales Order</t>
        </is>
      </c>
      <c r="C37" s="16" t="inlineStr">
        <is>
          <t>SO list: filter by status, customer, date; paginator</t>
        </is>
      </c>
      <c r="D37" s="17" t="inlineStr">
        <is>
          <t>Positive</t>
        </is>
      </c>
      <c r="E37" s="17" t="inlineStr">
        <is>
          <t>Medium</t>
        </is>
      </c>
      <c r="F37" s="16" t="inlineStr">
        <is>
          <t>Company with 25+ SOs across statuses and multiple customers.</t>
        </is>
      </c>
      <c r="G37" s="16" t="inlineStr">
        <is>
          <t>1. Filter by status=CONFIRMED.
2. Filter by customer name.
3. Filter by date range.
4. Exercise paginator.</t>
        </is>
      </c>
      <c r="H37" s="16" t="inlineStr">
        <is>
          <t>25+ SOs.</t>
        </is>
      </c>
      <c r="I37" s="16" t="inlineStr">
        <is>
          <t>Each filter scopes; combined ANDed. Paginator respects filters.</t>
        </is>
      </c>
      <c r="J37" s="16" t="inlineStr">
        <is>
          <t>/admin/sales-orders | GET /api/v1/sales-orders?status=&amp;customerId=&amp;dateFrom=&amp;dateTo=&amp;page=&amp;size=</t>
        </is>
      </c>
      <c r="K37" s="16" t="inlineStr">
        <is>
          <t>SALES.ORDER.VIEW</t>
        </is>
      </c>
      <c r="L37" s="16" t="inlineStr"/>
      <c r="M37" s="17" t="inlineStr">
        <is>
          <t>Not Run</t>
        </is>
      </c>
      <c r="N37" s="17" t="inlineStr"/>
      <c r="O37" s="16" t="inlineStr"/>
      <c r="P37" s="16" t="inlineStr"/>
      <c r="Q37" s="16" t="inlineStr"/>
    </row>
    <row r="38">
      <c r="A38" s="18" t="inlineStr">
        <is>
          <t>O2C-036</t>
        </is>
      </c>
      <c r="B38" s="19" t="inlineStr">
        <is>
          <t>Sales Order</t>
        </is>
      </c>
      <c r="C38" s="19" t="inlineStr">
        <is>
          <t>GOODS-only vs SERVICE-only SO: stock reservation applies to GOODS only</t>
        </is>
      </c>
      <c r="D38" s="8" t="inlineStr">
        <is>
          <t>Positive</t>
        </is>
      </c>
      <c r="E38" s="8" t="inlineStr">
        <is>
          <t>High</t>
        </is>
      </c>
      <c r="F38" s="19" t="inlineStr">
        <is>
          <t>GOODS product (stockable) and SERVICE product (non-stockable). Stock available. Logged in as ORG_ADMIN.</t>
        </is>
      </c>
      <c r="G38" s="19" t="inlineStr">
        <is>
          <t>1. Create and confirm a SERVICE-only SO.
2. Verify no stock reservation created.
3. Create and confirm a GOODS-only SO.
4. Verify stock reservation equals ordered qty.</t>
        </is>
      </c>
      <c r="H38" s="19" t="inlineStr">
        <is>
          <t>SERVICE product qty=1. GOODS product qty=5.</t>
        </is>
      </c>
      <c r="I38" s="19" t="inlineStr">
        <is>
          <t>SERVICE-only SO confirms without reservation events. GOODS SO creates reservation rows (qtyReservedBase=orderedQty). Mixed SO reserves GOODS lines only.</t>
        </is>
      </c>
      <c r="J38" s="19" t="inlineStr">
        <is>
          <t>PUT /api/v1/sales-orders/uid/{uid}/confirm</t>
        </is>
      </c>
      <c r="K38" s="19" t="inlineStr">
        <is>
          <t>SALES.ORDER.CONFIRM</t>
        </is>
      </c>
      <c r="L38" s="19" t="inlineStr"/>
      <c r="M38" s="8" t="inlineStr">
        <is>
          <t>Not Run</t>
        </is>
      </c>
      <c r="N38" s="8" t="inlineStr"/>
      <c r="O38" s="19" t="inlineStr"/>
      <c r="P38" s="19" t="inlineStr"/>
      <c r="Q38" s="19" t="inlineStr"/>
    </row>
    <row r="39">
      <c r="A39" s="15" t="inlineStr">
        <is>
          <t>O2C-037</t>
        </is>
      </c>
      <c r="B39" s="16" t="inlineStr">
        <is>
          <t>Sales Order</t>
        </is>
      </c>
      <c r="C39" s="16" t="inlineStr">
        <is>
          <t>Insufficient stock at confirm (advisory) vs stock-out at delivery (may block)</t>
        </is>
      </c>
      <c r="D39" s="17" t="inlineStr">
        <is>
          <t>Edge</t>
        </is>
      </c>
      <c r="E39" s="17" t="inlineStr">
        <is>
          <t>Medium</t>
        </is>
      </c>
      <c r="F39" s="16" t="inlineStr">
        <is>
          <t>GOODS product with zero on-hand. DRAFT SO for qty=10. Logged in as ORG_ADMIN.</t>
        </is>
      </c>
      <c r="G39" s="16" t="inlineStr">
        <is>
          <t>1. Confirm the SO (qty=10 against zero stock).
2. Observe whether confirm succeeds or fails.
3. Create a delivery for the confirmed SO.
4. Observe actual stock-move outcome (negative quantity or blocked).</t>
        </is>
      </c>
      <c r="H39" s="16" t="inlineStr">
        <is>
          <t>Product on-hand=0. SO line qty=10.</t>
        </is>
      </c>
      <c r="I39" s="16" t="inlineStr">
        <is>
          <t>Confirm: succeeds (reservation advisory — no hard block). Delivery: document the actual application behaviour. If stock-move posts a negative, that is a known gap; if blocked, record the error message.</t>
        </is>
      </c>
      <c r="J39" s="16" t="inlineStr">
        <is>
          <t>PUT /api/v1/sales-orders/uid/{uid}/confirm | POST /api/v1/deliveries</t>
        </is>
      </c>
      <c r="K39" s="16" t="inlineStr">
        <is>
          <t>SALES.ORDER.CONFIRM | SALES.DELIVERY.CREATE</t>
        </is>
      </c>
      <c r="L39" s="16" t="inlineStr"/>
      <c r="M39" s="17" t="inlineStr">
        <is>
          <t>Not Run</t>
        </is>
      </c>
      <c r="N39" s="17" t="inlineStr"/>
      <c r="O39" s="16" t="inlineStr"/>
      <c r="P39" s="16" t="inlineStr"/>
      <c r="Q39" s="16" t="inlineStr"/>
    </row>
    <row r="40">
      <c r="A40" s="18" t="inlineStr">
        <is>
          <t>O2C-038</t>
        </is>
      </c>
      <c r="B40" s="19" t="inlineStr">
        <is>
          <t>Sales Invoice</t>
        </is>
      </c>
      <c r="C40" s="19" t="inlineStr">
        <is>
          <t>Invoice list: filter by status, origin, customer, date; paginator</t>
        </is>
      </c>
      <c r="D40" s="8" t="inlineStr">
        <is>
          <t>Positive</t>
        </is>
      </c>
      <c r="E40" s="8" t="inlineStr">
        <is>
          <t>Medium</t>
        </is>
      </c>
      <c r="F40" s="19" t="inlineStr">
        <is>
          <t>Company with 25+ invoices across DRAFT, FINALISED, VOID; origins DIRECT, SALES_ORDER, POS.</t>
        </is>
      </c>
      <c r="G40" s="19" t="inlineStr">
        <is>
          <t>1. Filter by status=FINALISED.
2. Filter by origin=DIRECT.
3. Filter by customer.
4. Filter by date range.
5. Exercise paginator.</t>
        </is>
      </c>
      <c r="H40" s="19" t="inlineStr">
        <is>
          <t>25+ invoices.</t>
        </is>
      </c>
      <c r="I40" s="19" t="inlineStr">
        <is>
          <t>Each filter scopes; combined ANDed; paginator respects filters; meta populated.</t>
        </is>
      </c>
      <c r="J40" s="19" t="inlineStr">
        <is>
          <t>/admin/sales-invoices | GET /api/v1/sales-invoices?status=&amp;origin=&amp;customerId=&amp;dateFrom=&amp;dateTo=&amp;page=&amp;size=</t>
        </is>
      </c>
      <c r="K40" s="19" t="inlineStr">
        <is>
          <t>SALES.INVOICE.VIEW</t>
        </is>
      </c>
      <c r="L40" s="19" t="inlineStr"/>
      <c r="M40" s="8" t="inlineStr">
        <is>
          <t>Not Run</t>
        </is>
      </c>
      <c r="N40" s="8" t="inlineStr"/>
      <c r="O40" s="19" t="inlineStr"/>
      <c r="P40" s="19" t="inlineStr"/>
      <c r="Q40" s="19" t="inlineStr"/>
    </row>
    <row r="41">
      <c r="A41" s="15" t="inlineStr">
        <is>
          <t>O2C-039</t>
        </is>
      </c>
      <c r="B41" s="16" t="inlineStr">
        <is>
          <t>Sales Invoice</t>
        </is>
      </c>
      <c r="C41" s="16" t="inlineStr">
        <is>
          <t>Multi-tender partial settlement of a CREDIT_ACCOUNT invoice</t>
        </is>
      </c>
      <c r="D41" s="17" t="inlineStr">
        <is>
          <t>Positive</t>
        </is>
      </c>
      <c r="E41" s="17" t="inlineStr">
        <is>
          <t>High</t>
        </is>
      </c>
      <c r="F41" s="16" t="inlineStr">
        <is>
          <t>FINALISED invoice for CREDIT_ACCOUNT customer with gross=10000. No payments. Logged in as ORG_ADMIN.</t>
        </is>
      </c>
      <c r="G41" s="16" t="inlineStr">
        <is>
          <t>1. Add CASH 6000 (HTTP 201).
2. Add MOBILE_MONEY 4000, reference='TXN-9988' (HTTP 201).
3. Verify total paid=10000, balance=0.
4. Attempt a third payment of any amount.</t>
        </is>
      </c>
      <c r="H41" s="16" t="inlineStr">
        <is>
          <t>Invoice gross=10000. CASH 6000 + MOBILE_MONEY 4000.</t>
        </is>
      </c>
      <c r="I41" s="16" t="inlineStr">
        <is>
          <t>Steps 1-2: HTTP 201 each. Step 3: balance=0. Step 4: HTTP 400 'total payments would exceed invoice gross'.</t>
        </is>
      </c>
      <c r="J41" s="16" t="inlineStr">
        <is>
          <t>POST /api/v1/sales-invoices/uid/{uid}/payments</t>
        </is>
      </c>
      <c r="K41" s="16" t="inlineStr">
        <is>
          <t>SALES.INVOICE.SETTLE</t>
        </is>
      </c>
      <c r="L41" s="16" t="inlineStr"/>
      <c r="M41" s="17" t="inlineStr">
        <is>
          <t>Not Run</t>
        </is>
      </c>
      <c r="N41" s="17" t="inlineStr"/>
      <c r="O41" s="16" t="inlineStr"/>
      <c r="P41" s="16" t="inlineStr"/>
      <c r="Q41" s="16" t="inlineStr"/>
    </row>
    <row r="42">
      <c r="A42" s="18" t="inlineStr">
        <is>
          <t>O2C-040</t>
        </is>
      </c>
      <c r="B42" s="19" t="inlineStr">
        <is>
          <t>Sales Invoice</t>
        </is>
      </c>
      <c r="C42" s="19" t="inlineStr">
        <is>
          <t>Invoice detail axe-core check (lines + payments panels)</t>
        </is>
      </c>
      <c r="D42" s="8" t="inlineStr">
        <is>
          <t>Positive</t>
        </is>
      </c>
      <c r="E42" s="8" t="inlineStr">
        <is>
          <t>High</t>
        </is>
      </c>
      <c r="F42" s="19" t="inlineStr">
        <is>
          <t>A FINALISED invoice with 2+ lines and 1+ payment. Logged in as ORG_ADMIN.</t>
        </is>
      </c>
      <c r="G42" s="19" t="inlineStr">
        <is>
          <t>1. Navigate to /admin/sales-invoices/uid/:uid.
2. Run axe-core.
3. Verify zero critical/serious violations.</t>
        </is>
      </c>
      <c r="H42" s="19" t="inlineStr">
        <is>
          <t>Invoice with lines and payments.</t>
        </is>
      </c>
      <c r="I42" s="19" t="inlineStr">
        <is>
          <t>Zero axe critical/serious violations. All form controls labelled; status badges have text; modal dialogs have role=dialog and aria-modal.</t>
        </is>
      </c>
      <c r="J42" s="19" t="inlineStr">
        <is>
          <t>/admin/sales-invoices/uid/:uid</t>
        </is>
      </c>
      <c r="K42" s="19" t="inlineStr">
        <is>
          <t>SALES.INVOICE.VIEW</t>
        </is>
      </c>
      <c r="L42" s="19" t="inlineStr"/>
      <c r="M42" s="8" t="inlineStr">
        <is>
          <t>Not Run</t>
        </is>
      </c>
      <c r="N42" s="8" t="inlineStr"/>
      <c r="O42" s="19" t="inlineStr"/>
      <c r="P42" s="19" t="inlineStr"/>
      <c r="Q42" s="19" t="inlineStr"/>
    </row>
    <row r="43">
      <c r="A43" s="15" t="inlineStr">
        <is>
          <t>O2C-041</t>
        </is>
      </c>
      <c r="B43" s="16" t="inlineStr">
        <is>
          <t>Sales Return</t>
        </is>
      </c>
      <c r="C43" s="16" t="inlineStr">
        <is>
          <t>Auto-generated credit note from return visible in AR; void the credit note</t>
        </is>
      </c>
      <c r="D43" s="17" t="inlineStr">
        <is>
          <t>Positive</t>
        </is>
      </c>
      <c r="E43" s="17" t="inlineStr">
        <is>
          <t>Medium</t>
        </is>
      </c>
      <c r="F43" s="16" t="inlineStr">
        <is>
          <t>A CONFIRMED sales return with pro-rated credit note. Logged in as ORG_ADMIN.</t>
        </is>
      </c>
      <c r="G43" s="16" t="inlineStr">
        <is>
          <t>1. Navigate to AR or use the link from the return detail to find the auto-generated credit note.
2. Verify credit note amount = pro-rated returned value.
3. Void the credit note.</t>
        </is>
      </c>
      <c r="H43" s="16" t="inlineStr">
        <is>
          <t>Return qty=4 of original qty=10 at unit price=1000 → credit=4000.</t>
        </is>
      </c>
      <c r="I43" s="16" t="inlineStr">
        <is>
          <t>Credit note amount correctly pro-rated. Voiding reverses the AR entry. Cannot void an already-VOID credit note (400).</t>
        </is>
      </c>
      <c r="J43" s="16" t="inlineStr">
        <is>
          <t>/admin/ar | POST /api/v1/ar/credit-notes/uid/{uid}/void</t>
        </is>
      </c>
      <c r="K43" s="16" t="inlineStr">
        <is>
          <t>SALES.RETURN.VIEW</t>
        </is>
      </c>
      <c r="L43" s="16" t="inlineStr"/>
      <c r="M43" s="17" t="inlineStr">
        <is>
          <t>Not Run</t>
        </is>
      </c>
      <c r="N43" s="17" t="inlineStr"/>
      <c r="O43" s="16" t="inlineStr"/>
      <c r="P43" s="16" t="inlineStr"/>
      <c r="Q43" s="16" t="inlineStr"/>
    </row>
    <row r="44">
      <c r="A44" s="18" t="inlineStr">
        <is>
          <t>O2C-042</t>
        </is>
      </c>
      <c r="B44" s="19" t="inlineStr">
        <is>
          <t>O2C End-to-End</t>
        </is>
      </c>
      <c r="C44" s="19" t="inlineStr">
        <is>
          <t>Multi-currency SO and invoice: FX rate applied; currency mismatch on payment rejected (BR-CUR-07)</t>
        </is>
      </c>
      <c r="D44" s="8" t="inlineStr">
        <is>
          <t>Positive</t>
        </is>
      </c>
      <c r="E44" s="8" t="inlineStr">
        <is>
          <t>High</t>
        </is>
      </c>
      <c r="F44" s="19" t="inlineStr">
        <is>
          <t>Company with TZS and USD active. FX rate USD→TZS=2600 effective today. CREDIT_ACCOUNT customer. Sellable product with USD price.</t>
        </is>
      </c>
      <c r="G44" s="19" t="inlineStr">
        <is>
          <t>1. Create SO in currency=USD; add product line.
2. Finalise invoice in USD.
3. Attempt to add a TZS payment to the USD invoice.</t>
        </is>
      </c>
      <c r="H44" s="19" t="inlineStr">
        <is>
          <t>SO currency=USD. Line unitPrice=50.00 USD. Payment attempt currency=TZS.</t>
        </is>
      </c>
      <c r="I44" s="19" t="inlineStr">
        <is>
          <t>SO and invoice in USD. FX rate stamped at invoice creation. Step 3: HTTP 400 'Payment currency does not match invoice currency (BR-CUR-07)'. USD payment succeeds.</t>
        </is>
      </c>
      <c r="J44" s="19" t="inlineStr">
        <is>
          <t>POST /api/v1/sales-orders | POST /api/v1/sales-invoices/uid/{uid}/payments</t>
        </is>
      </c>
      <c r="K44" s="19" t="inlineStr">
        <is>
          <t>SALES.ORDER.CREATE | SALES.INVOICE.CREATE | SALES.INVOICE.SETTLE</t>
        </is>
      </c>
      <c r="L44" s="19" t="inlineStr"/>
      <c r="M44" s="8" t="inlineStr">
        <is>
          <t>Not Run</t>
        </is>
      </c>
      <c r="N44" s="8" t="inlineStr"/>
      <c r="O44" s="19" t="inlineStr"/>
      <c r="P44" s="19" t="inlineStr"/>
      <c r="Q44" s="19" t="inlineStr"/>
    </row>
    <row r="45">
      <c r="A45" s="15" t="inlineStr">
        <is>
          <t>O2C-043</t>
        </is>
      </c>
      <c r="B45" s="16" t="inlineStr">
        <is>
          <t>O2C End-to-End</t>
        </is>
      </c>
      <c r="C45" s="16" t="inlineStr">
        <is>
          <t>Quotation for route-assigned customer: route and agent auto-populated; override accepted</t>
        </is>
      </c>
      <c r="D45" s="17" t="inlineStr">
        <is>
          <t>Positive</t>
        </is>
      </c>
      <c r="E45" s="17" t="inlineStr">
        <is>
          <t>Medium</t>
        </is>
      </c>
      <c r="F45" s="16" t="inlineStr">
        <is>
          <t>Route with customer and primary EXTERNAL agent assigned. Logged in as ORG_ADMIN.</t>
        </is>
      </c>
      <c r="G45" s="16" t="inlineStr">
        <is>
          <t>1. Create quotation; pick the route-assigned customer.
2. Verify routeUid and agentUid auto-populated.
3. Override agentUid with another agent; confirm override saved.</t>
        </is>
      </c>
      <c r="H45" s="16" t="inlineStr">
        <is>
          <t>Route-assigned customer with primary agent.</t>
        </is>
      </c>
      <c r="I45" s="16" t="inlineStr">
        <is>
          <t>routeUid and agentUid pre-filled. Both fields overrideable. Quotation created with the overridden agentUid.</t>
        </is>
      </c>
      <c r="J45" s="16" t="inlineStr">
        <is>
          <t>POST /api/v1/quotations</t>
        </is>
      </c>
      <c r="K45" s="16" t="inlineStr">
        <is>
          <t>SALES.QUOTE.CREATE</t>
        </is>
      </c>
      <c r="L45" s="16" t="inlineStr"/>
      <c r="M45" s="17" t="inlineStr">
        <is>
          <t>Not Run</t>
        </is>
      </c>
      <c r="N45" s="17" t="inlineStr"/>
      <c r="O45" s="16" t="inlineStr"/>
      <c r="P45" s="16" t="inlineStr"/>
      <c r="Q45" s="16" t="inlineStr"/>
    </row>
  </sheetData>
  <autoFilter ref="A2:Q45"/>
  <mergeCells count="1">
    <mergeCell ref="A1:Q1"/>
  </mergeCells>
  <dataValidations count="4">
    <dataValidation sqref="D3:D45" showDropDown="0" showInputMessage="0" showErrorMessage="0" allowBlank="1" type="list">
      <formula1>"Positive,Negative,Permission,Edge"</formula1>
    </dataValidation>
    <dataValidation sqref="E3:E45" showDropDown="0" showInputMessage="0" showErrorMessage="0" allowBlank="1" type="list">
      <formula1>"High,Medium,Low"</formula1>
    </dataValidation>
    <dataValidation sqref="M3:M45" showDropDown="0" showInputMessage="0" showErrorMessage="0" allowBlank="1" type="list">
      <formula1>"Not Run,Pass,Fail,Blocked,N/A"</formula1>
    </dataValidation>
    <dataValidation sqref="N3:N45" showDropDown="0" showInputMessage="0" showErrorMessage="0" allowBlank="1" type="list">
      <formula1>"-,Critical,High,Medium,Low"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20"/>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Sales – Pricing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SADV-001</t>
        </is>
      </c>
      <c r="B3" s="16" t="inlineStr">
        <is>
          <t>Blanket Orders</t>
        </is>
      </c>
      <c r="C3" s="16" t="inlineStr">
        <is>
          <t>Blanket Orders list: pagination, four states, company scoping</t>
        </is>
      </c>
      <c r="D3" s="17" t="inlineStr">
        <is>
          <t>Positive</t>
        </is>
      </c>
      <c r="E3" s="17" t="inlineStr">
        <is>
          <t>High</t>
        </is>
      </c>
      <c r="F3" s="16" t="inlineStr">
        <is>
          <t>At least 21 ACTIVE blanket orders for the company. Logged in as ORG_ADMIN.</t>
        </is>
      </c>
      <c r="G3" s="16" t="inlineStr">
        <is>
          <t>1. Navigate to /admin/blanket-orders; observe loading then idle.
2. Exercise paginator: NEXT, page number 2, LAST, FIRST, PREVIOUS.
3. Observe status badges and committed/drawn money.
4. Switch to a second company — verify data re-scopes.
5. Force error intercept — verify error state.
6. Log in as NO-PERMISSION user — verify nav item hidden + guard blocks.</t>
        </is>
      </c>
      <c r="H3" s="16" t="inlineStr">
        <is>
          <t>21+ blanket orders. Two companies with distinct blanket sets.</t>
        </is>
      </c>
      <c r="I3" s="16" t="inlineStr">
        <is>
          <t>Rows render with order number, customer ID (known C1 deviation — shows numeric id per defect D-3), status badge, dates, money. Paginator full control set. Data re-scopes on company switch. Error/forbidden states distinct.</t>
        </is>
      </c>
      <c r="J3" s="16" t="inlineStr">
        <is>
          <t>/admin/blanket-orders | GET /api/v1/blanket-orders?companyId=&amp;page=&amp;size=</t>
        </is>
      </c>
      <c r="K3" s="16" t="inlineStr">
        <is>
          <t>SALES.BLANKET.VIEW</t>
        </is>
      </c>
      <c r="L3" s="16" t="inlineStr"/>
      <c r="M3" s="17" t="inlineStr">
        <is>
          <t>Not Run</t>
        </is>
      </c>
      <c r="N3" s="17" t="inlineStr"/>
      <c r="O3" s="16" t="inlineStr"/>
      <c r="P3" s="16" t="inlineStr"/>
      <c r="Q3" s="16" t="inlineStr"/>
    </row>
    <row r="4">
      <c r="A4" s="18" t="inlineStr">
        <is>
          <t>SADV-002</t>
        </is>
      </c>
      <c r="B4" s="19" t="inlineStr">
        <is>
          <t>Blanket Orders</t>
        </is>
      </c>
      <c r="C4" s="19" t="inlineStr">
        <is>
          <t>Create blanket order (customer + product pickers); date-window and required-field validation</t>
        </is>
      </c>
      <c r="D4" s="8" t="inlineStr">
        <is>
          <t>Positive</t>
        </is>
      </c>
      <c r="E4" s="8" t="inlineStr">
        <is>
          <t>High</t>
        </is>
      </c>
      <c r="F4" s="19" t="inlineStr">
        <is>
          <t>Active customer, product, unit, and branch for the company. Logged in as ORG_ADMIN.</t>
        </is>
      </c>
      <c r="G4" s="19" t="inlineStr">
        <is>
          <t>1. Navigate to /admin/blanket-orders/create.
2. Select company; select branch.
3. Pick customer by 'code — name' via picker.
4. Set currency=TZS, validFrom=today, validTo=today+90d, notes='Q3 framework'.
5. Add line: pick product by name, pick unit, committedQty=100, unitPrice=1500.00; add second line qty=50 @ 2000.00.
6. Submit.</t>
        </is>
      </c>
      <c r="H4" s="19" t="inlineStr">
        <is>
          <t>customer='Beta Traders Ltd'. product='WIDGET-A' qty=100 @ 1500. Line 2 qty=50 @ 2000.</t>
        </is>
      </c>
      <c r="I4" s="19" t="inlineStr">
        <is>
          <t>HTTP 201. Status ACTIVE. totalCommittedAmount=250000.00. Both lines show drawn=0, remaining=committed. Customer and product chosen by name — uid only in URL. Blank customer/branch/currency/dates or validFrom&gt;validTo blocked before POST.</t>
        </is>
      </c>
      <c r="J4" s="19" t="inlineStr">
        <is>
          <t>/admin/blanket-orders/create | POST /api/v1/blanket-orders</t>
        </is>
      </c>
      <c r="K4" s="19" t="inlineStr">
        <is>
          <t>SALES.BLANKET.CREATE</t>
        </is>
      </c>
      <c r="L4" s="19" t="inlineStr"/>
      <c r="M4" s="8" t="inlineStr">
        <is>
          <t>Not Run</t>
        </is>
      </c>
      <c r="N4" s="8" t="inlineStr"/>
      <c r="O4" s="19" t="inlineStr"/>
      <c r="P4" s="19" t="inlineStr"/>
      <c r="Q4" s="19" t="inlineStr"/>
    </row>
    <row r="5">
      <c r="A5" s="15" t="inlineStr">
        <is>
          <t>SADV-003</t>
        </is>
      </c>
      <c r="B5" s="16" t="inlineStr">
        <is>
          <t>Blanket Orders</t>
        </is>
      </c>
      <c r="C5" s="16" t="inlineStr">
        <is>
          <t>Blanket draw creates Sales Order; over-draw rejected; expired blanket rejected</t>
        </is>
      </c>
      <c r="D5" s="17" t="inlineStr">
        <is>
          <t>Positive</t>
        </is>
      </c>
      <c r="E5" s="17" t="inlineStr">
        <is>
          <t>High</t>
        </is>
      </c>
      <c r="F5" s="16" t="inlineStr">
        <is>
          <t>ACTIVE blanket with remaining&gt;0. A user/role that holds SALES.BLANKET.MANAGE (note: under default V45 seed only rootadmin qualifies — see Defect D-1). Active agent.</t>
        </is>
      </c>
      <c r="G5" s="16" t="inlineStr">
        <is>
          <t>1. Open blanket detail; click 'Draw Release'.
2. Enter Branch ID (numeric — C1 deviation per D-3); pick agent by name.
3. Set draw qty=40 on line 1; uncheck line 2. Click 'Create Release'.
4. Verify blanket line 1: drawn=40, remaining=60. SO stamped with source_blanket_uid.
5. Attempt draw qty=61 on a line with remaining=60.</t>
        </is>
      </c>
      <c r="H5" s="16" t="inlineStr">
        <is>
          <t>Branch ID numeric. Agent 'AG-001 — Inside Sales'. Draw qty=40. Over-draw test qty=61.</t>
        </is>
      </c>
      <c r="I5" s="16" t="inlineStr">
        <is>
          <t>Step 3: SO created (SalesOrderDto); toast with SO number. Step 4: remaining=60, totalDrawnAmount increased. Step 5: HTTP 409 'Draw quantity 61 exceeds remaining 60 on blanket line'. Drawing on a CANCELLED blanket returns 409 'not ACTIVE'.</t>
        </is>
      </c>
      <c r="J5" s="16" t="inlineStr">
        <is>
          <t>POST /api/v1/blanket-orders/uid/{uid}/draw</t>
        </is>
      </c>
      <c r="K5" s="16" t="inlineStr">
        <is>
          <t>SALES.BLANKET.MANAGE</t>
        </is>
      </c>
      <c r="L5" s="16" t="inlineStr"/>
      <c r="M5" s="17" t="inlineStr">
        <is>
          <t>Not Run</t>
        </is>
      </c>
      <c r="N5" s="17" t="inlineStr"/>
      <c r="O5" s="16" t="inlineStr"/>
      <c r="P5" s="16" t="inlineStr"/>
      <c r="Q5" s="16" t="inlineStr"/>
    </row>
    <row r="6">
      <c r="A6" s="18" t="inlineStr">
        <is>
          <t>SADV-004</t>
        </is>
      </c>
      <c r="B6" s="19" t="inlineStr">
        <is>
          <t>Blanket Orders</t>
        </is>
      </c>
      <c r="C6" s="19" t="inlineStr">
        <is>
          <t>Cancel blanket order; already-CANCELLED rejected; MANAGE permission gap (Defect D-1)</t>
        </is>
      </c>
      <c r="D6" s="8" t="inlineStr">
        <is>
          <t>Negative</t>
        </is>
      </c>
      <c r="E6" s="8" t="inlineStr">
        <is>
          <t>High</t>
        </is>
      </c>
      <c r="F6" s="19" t="inlineStr">
        <is>
          <t>An ACTIVE blanket. ORG_ADMIN logged in.</t>
        </is>
      </c>
      <c r="G6" s="19" t="inlineStr">
        <is>
          <t>1. As ORG_ADMIN (holds VIEW/CREATE but NOT MANAGE per V45 seed), open blanket detail.
2. Confirm 'Cancel' button is NOT rendered (canManage=false).
3. Call DELETE /api/v1/blanket-orders/uid/{uid} directly as ORG_ADMIN.
4. As rootadmin, cancel the blanket (HTTP 200).
5. Attempt to cancel the same (now CANCELLED) blanket again.</t>
        </is>
      </c>
      <c r="H6" s="19" t="inlineStr">
        <is>
          <t>ACTIVE blanket. ORG_ADMIN and rootadmin credentials.</t>
        </is>
      </c>
      <c r="I6" s="19" t="inlineStr">
        <is>
          <t>Step 2: button absent. Step 3: HTTP 403 (SALES.BLANKET.MANAGE not granted to ORG_ADMIN by V45 seed). Step 4: status=CANCELLED. Step 5: HTTP 409 'already CANCELLED'. This documents Defect D-1 — MANAGE code is ungrafted.</t>
        </is>
      </c>
      <c r="J6" s="19" t="inlineStr">
        <is>
          <t>DELETE /api/v1/blanket-orders/uid/{uid}</t>
        </is>
      </c>
      <c r="K6" s="19" t="inlineStr">
        <is>
          <t>SALES.BLANKET.MANAGE (not seeded to any role — Defect D-1)</t>
        </is>
      </c>
      <c r="L6" s="19" t="inlineStr"/>
      <c r="M6" s="8" t="inlineStr">
        <is>
          <t>Not Run</t>
        </is>
      </c>
      <c r="N6" s="8" t="inlineStr"/>
      <c r="O6" s="19" t="inlineStr"/>
      <c r="P6" s="19" t="inlineStr"/>
      <c r="Q6" s="19" t="inlineStr"/>
    </row>
    <row r="7">
      <c r="A7" s="15" t="inlineStr">
        <is>
          <t>SADV-005</t>
        </is>
      </c>
      <c r="B7" s="16" t="inlineStr">
        <is>
          <t>Standing Orders</t>
        </is>
      </c>
      <c r="C7" s="16" t="inlineStr">
        <is>
          <t>Create MONTHLY standing order (uid-pickers); frequency variations</t>
        </is>
      </c>
      <c r="D7" s="17" t="inlineStr">
        <is>
          <t>Positive</t>
        </is>
      </c>
      <c r="E7" s="17" t="inlineStr">
        <is>
          <t>High</t>
        </is>
      </c>
      <c r="F7" s="16" t="inlineStr">
        <is>
          <t>Active customer, product, unit, and branch for the company. Logged in as ORG_ADMIN.</t>
        </is>
      </c>
      <c r="G7" s="16" t="inlineStr">
        <is>
          <t>1. Navigate to /admin/standing-orders/create.
2. Pick branch via app-uid-picker by name; pick customer by name.
3. Set currency=TZS, frequency=Monthly, startDate=today, endDate=blank.
4. Add line: pick product + unit via pickers; qty=10, unitPrice=1200.00. Submit.</t>
        </is>
      </c>
      <c r="H7" s="16" t="inlineStr">
        <is>
          <t>customer='Beta Traders Ltd'. product='MILK-1L'. qty=10 @ 1200.00. frequency=MONTHLY.</t>
        </is>
      </c>
      <c r="I7" s="16" t="inlineStr">
        <is>
          <t>HTTP 201. Status ACTIVE. frequency=MONTHLY. nextRunDate populated. All pickers by name (uid in URL only). Creating for each of DAILY/WEEKLY/BIWEEKLY/MONTHLY succeeds. nextRunDate advances by correct cadence on trigger.</t>
        </is>
      </c>
      <c r="J7" s="16" t="inlineStr">
        <is>
          <t>/admin/standing-orders/create | POST /api/v1/standing-orders</t>
        </is>
      </c>
      <c r="K7" s="16" t="inlineStr">
        <is>
          <t>SALES.STANDING.CREATE</t>
        </is>
      </c>
      <c r="L7" s="16" t="inlineStr"/>
      <c r="M7" s="17" t="inlineStr">
        <is>
          <t>Not Run</t>
        </is>
      </c>
      <c r="N7" s="17" t="inlineStr"/>
      <c r="O7" s="16" t="inlineStr"/>
      <c r="P7" s="16" t="inlineStr"/>
      <c r="Q7" s="16" t="inlineStr"/>
    </row>
    <row r="8">
      <c r="A8" s="18" t="inlineStr">
        <is>
          <t>SADV-006</t>
        </is>
      </c>
      <c r="B8" s="19" t="inlineStr">
        <is>
          <t>Standing Orders</t>
        </is>
      </c>
      <c r="C8" s="19" t="inlineStr">
        <is>
          <t>Standing order lifecycle: pause/resume/cancel/trigger; illegal transitions rejected</t>
        </is>
      </c>
      <c r="D8" s="8" t="inlineStr">
        <is>
          <t>Positive</t>
        </is>
      </c>
      <c r="E8" s="8" t="inlineStr">
        <is>
          <t>High</t>
        </is>
      </c>
      <c r="F8" s="19" t="inlineStr">
        <is>
          <t>ACTIVE standing order. A user/role that holds SALES.STANDING.MANAGE (note: under V45 seed only rootadmin qualifies — Defect D-1).</t>
        </is>
      </c>
      <c r="G8" s="19" t="inlineStr">
        <is>
          <t>1. Pause ACTIVE order → status=PAUSED (HTTP 200).
2. Pause already-PAUSED → 409.
3. Resume PAUSED → status=ACTIVE (HTTP 200).
4. Resume ACTIVE → 409.
5. Trigger ACTIVE → SO generated, nextRunDate advances by frequency (HTTP 200).
6. Trigger PAUSED → 409.
7. Cancel ACTIVE → status=CANCELLED (HTTP 200).
8. Cancel already-CANCELLED → 409.</t>
        </is>
      </c>
      <c r="H8" s="19" t="inlineStr">
        <is>
          <t>ACTIVE standing order (MONTHLY).</t>
        </is>
      </c>
      <c r="I8" s="19" t="inlineStr">
        <is>
          <t>Each legal transition returns 200 with updated StandingOrderDto. Each illegal returns 409 with descriptive message. Generated SO stamped with source_standing_uid. Outbox event STANDING_ORDER_GENERATED emitted on trigger.</t>
        </is>
      </c>
      <c r="J8" s="19" t="inlineStr">
        <is>
          <t>POST /api/v1/standing-orders/uid/{uid}/pause | /resume | /trigger | DELETE .../uid/{uid}</t>
        </is>
      </c>
      <c r="K8" s="19" t="inlineStr">
        <is>
          <t>SALES.STANDING.MANAGE</t>
        </is>
      </c>
      <c r="L8" s="19" t="inlineStr"/>
      <c r="M8" s="8" t="inlineStr">
        <is>
          <t>Not Run</t>
        </is>
      </c>
      <c r="N8" s="8" t="inlineStr"/>
      <c r="O8" s="19" t="inlineStr"/>
      <c r="P8" s="19" t="inlineStr"/>
      <c r="Q8" s="19" t="inlineStr"/>
    </row>
    <row r="9">
      <c r="A9" s="15" t="inlineStr">
        <is>
          <t>SADV-007</t>
        </is>
      </c>
      <c r="B9" s="16" t="inlineStr">
        <is>
          <t>Standing Orders</t>
        </is>
      </c>
      <c r="C9" s="16" t="inlineStr">
        <is>
          <t>Standing MANAGE permission gap (Defect D-1) — ORG_ADMIN cannot manage</t>
        </is>
      </c>
      <c r="D9" s="17" t="inlineStr">
        <is>
          <t>Permission</t>
        </is>
      </c>
      <c r="E9" s="17" t="inlineStr">
        <is>
          <t>High</t>
        </is>
      </c>
      <c r="F9" s="16" t="inlineStr">
        <is>
          <t>ORG_ADMIN logged in. Stock-seeded DB (V45 seed grants STANDING.GENERATE, not MANAGE).</t>
        </is>
      </c>
      <c r="G9" s="16" t="inlineStr">
        <is>
          <t>1. Open a standing-order detail as ORG_ADMIN.
2. Observe action buttons (Pause/Resume/Cancel/Trigger).
3. Call each manage endpoint directly as ORG_ADMIN.</t>
        </is>
      </c>
      <c r="H9" s="16" t="inlineStr">
        <is>
          <t>ORG_ADMIN credentials. ACTIVE standing order.</t>
        </is>
      </c>
      <c r="I9" s="16" t="inlineStr">
        <is>
          <t>canManage() is false → NO Pause/Resume/Cancel/Trigger buttons. Direct API calls return HTTP 403. rootadmin succeeds (superuser bypass). Orphan permission SALES.STANDING.GENERATE is referenced by no controller.</t>
        </is>
      </c>
      <c r="J9" s="16" t="inlineStr">
        <is>
          <t>POST /api/v1/standing-orders/uid/{uid}/pause | /resume | /trigger | DELETE .../uid/{uid}</t>
        </is>
      </c>
      <c r="K9" s="16" t="inlineStr">
        <is>
          <t>SALES.STANDING.MANAGE (not seeded — Defect D-1)</t>
        </is>
      </c>
      <c r="L9" s="16" t="inlineStr"/>
      <c r="M9" s="17" t="inlineStr">
        <is>
          <t>Not Run</t>
        </is>
      </c>
      <c r="N9" s="17" t="inlineStr"/>
      <c r="O9" s="16" t="inlineStr"/>
      <c r="P9" s="16" t="inlineStr"/>
      <c r="Q9" s="16" t="inlineStr"/>
    </row>
    <row r="10">
      <c r="A10" s="18" t="inlineStr">
        <is>
          <t>SADV-008</t>
        </is>
      </c>
      <c r="B10" s="19" t="inlineStr">
        <is>
          <t>Pricing Rules</t>
        </is>
      </c>
      <c r="C10" s="19" t="inlineStr">
        <is>
          <t>Create price tier (product + price-list pickers); duplicate min-qty rejected</t>
        </is>
      </c>
      <c r="D10" s="8" t="inlineStr">
        <is>
          <t>Positive</t>
        </is>
      </c>
      <c r="E10" s="8" t="inlineStr">
        <is>
          <t>High</t>
        </is>
      </c>
      <c r="F10" s="19" t="inlineStr">
        <is>
          <t>A product and a price list for the company. Logged in as ORG_ADMIN.</t>
        </is>
      </c>
      <c r="G10" s="19" t="inlineStr">
        <is>
          <t>1. Navigate to /admin/pricing-rules; Tiers tab.
2. Open create form; pick product by name; pick price list by name; minQty=10; unitPrice=950.00; currency=TZS. Save.
3. Create another tier for the same product+list+minQty=10.</t>
        </is>
      </c>
      <c r="H10" s="19" t="inlineStr">
        <is>
          <t>product='WIDGET-A'. priceList='Standard'. minQty=10 @ 950.00.</t>
        </is>
      </c>
      <c r="I10" s="19" t="inlineStr">
        <is>
          <t>Step 2: HTTP 201; tier row appears with status ACTIVE. Product and price-list chosen by name. Step 3: HTTP 409 'A tier with min_qty 10 already exists for this product+price_list'. Different minQty (25) is accepted.</t>
        </is>
      </c>
      <c r="J10" s="19" t="inlineStr">
        <is>
          <t>/admin/pricing-rules | POST /api/v1/pricing-rules/tiers</t>
        </is>
      </c>
      <c r="K10" s="19" t="inlineStr">
        <is>
          <t>SALES.PRICING.RULE.MANAGE</t>
        </is>
      </c>
      <c r="L10" s="19" t="inlineStr"/>
      <c r="M10" s="8" t="inlineStr">
        <is>
          <t>Not Run</t>
        </is>
      </c>
      <c r="N10" s="8" t="inlineStr"/>
      <c r="O10" s="19" t="inlineStr"/>
      <c r="P10" s="19" t="inlineStr"/>
      <c r="Q10" s="19" t="inlineStr"/>
    </row>
    <row r="11">
      <c r="A11" s="15" t="inlineStr">
        <is>
          <t>SADV-009</t>
        </is>
      </c>
      <c r="B11" s="16" t="inlineStr">
        <is>
          <t>Pricing Rules</t>
        </is>
      </c>
      <c r="C11" s="16" t="inlineStr">
        <is>
          <t>Deactivate price tier (soft delete); tier list is plain (no paginator)</t>
        </is>
      </c>
      <c r="D11" s="17" t="inlineStr">
        <is>
          <t>Positive</t>
        </is>
      </c>
      <c r="E11" s="17" t="inlineStr">
        <is>
          <t>Medium</t>
        </is>
      </c>
      <c r="F11" s="16" t="inlineStr">
        <is>
          <t>An ACTIVE tier in the loaded list (product + price-list filter applied). Logged in as ORG_ADMIN.</t>
        </is>
      </c>
      <c r="G11" s="16" t="inlineStr">
        <is>
          <t>1. In Tiers tab with product+list filter, locate the tier row.
2. Click Deactivate.
3. Verify toast 'Price tier deactivated'; row removed from in-memory list.
4. Confirm list is a plain array with NO paginator.</t>
        </is>
      </c>
      <c r="H11" s="16" t="inlineStr">
        <is>
          <t>ACTIVE tier.</t>
        </is>
      </c>
      <c r="I11" s="16" t="inlineStr">
        <is>
          <t>DELETE sets status=INACTIVE (soft). Row removed from list. No app-paginator rendered (listTiers returns plain List). VIEW-only user gets 403 on deactivate.</t>
        </is>
      </c>
      <c r="J11" s="16" t="inlineStr">
        <is>
          <t>DELETE /api/v1/pricing-rules/tiers/uid/{uid}</t>
        </is>
      </c>
      <c r="K11" s="16" t="inlineStr">
        <is>
          <t>SALES.PRICING.RULE.MANAGE</t>
        </is>
      </c>
      <c r="L11" s="16" t="inlineStr"/>
      <c r="M11" s="17" t="inlineStr">
        <is>
          <t>Not Run</t>
        </is>
      </c>
      <c r="N11" s="17" t="inlineStr"/>
      <c r="O11" s="16" t="inlineStr"/>
      <c r="P11" s="16" t="inlineStr"/>
      <c r="Q11" s="16" t="inlineStr"/>
    </row>
    <row r="12">
      <c r="A12" s="18" t="inlineStr">
        <is>
          <t>SADV-010</t>
        </is>
      </c>
      <c r="B12" s="19" t="inlineStr">
        <is>
          <t>Pricing Rules</t>
        </is>
      </c>
      <c r="C12" s="19" t="inlineStr">
        <is>
          <t>Create customer price; unique (customer, product) rejected regardless of status</t>
        </is>
      </c>
      <c r="D12" s="8" t="inlineStr">
        <is>
          <t>Positive</t>
        </is>
      </c>
      <c r="E12" s="8" t="inlineStr">
        <is>
          <t>High</t>
        </is>
      </c>
      <c r="F12" s="19" t="inlineStr">
        <is>
          <t>Active customer and product for the company. Logged in as ORG_ADMIN.</t>
        </is>
      </c>
      <c r="G12" s="19" t="inlineStr">
        <is>
          <t>1. Customer Prices tab; open create form.
2. Pick customer by name; pick product by name; unitPrice=880.00; currency=TZS; effectiveFrom=today; effectiveTo=today+180d. Save.
3. Create another price for the same customer+product.</t>
        </is>
      </c>
      <c r="H12" s="19" t="inlineStr">
        <is>
          <t>customer='Beta Traders Ltd'. product='WIDGET-A'. price=880.00.</t>
        </is>
      </c>
      <c r="I12" s="19" t="inlineStr">
        <is>
          <t>Step 2: HTTP 201; row ACTIVE. Step 3: rejected by DB uq_customer_price_scope — unique constraint is status-agnostic (cannot re-create even after deactivating the first). Omitting effective dates creates an open-ended price.</t>
        </is>
      </c>
      <c r="J12" s="19" t="inlineStr">
        <is>
          <t>POST /api/v1/pricing-rules/customer-prices</t>
        </is>
      </c>
      <c r="K12" s="19" t="inlineStr">
        <is>
          <t>SALES.PRICING.RULE.MANAGE</t>
        </is>
      </c>
      <c r="L12" s="19" t="inlineStr"/>
      <c r="M12" s="8" t="inlineStr">
        <is>
          <t>Not Run</t>
        </is>
      </c>
      <c r="N12" s="8" t="inlineStr"/>
      <c r="O12" s="19" t="inlineStr"/>
      <c r="P12" s="19" t="inlineStr"/>
      <c r="Q12" s="19" t="inlineStr"/>
    </row>
    <row r="13">
      <c r="A13" s="15" t="inlineStr">
        <is>
          <t>SADV-011</t>
        </is>
      </c>
      <c r="B13" s="16" t="inlineStr">
        <is>
          <t>Pricing Rules</t>
        </is>
      </c>
      <c r="C13" s="16" t="inlineStr">
        <is>
          <t>Promotions (backend-only; no UI — Defect D-2): create PRODUCT-target PERCENT_DISCOUNT</t>
        </is>
      </c>
      <c r="D13" s="17" t="inlineStr">
        <is>
          <t>Positive</t>
        </is>
      </c>
      <c r="E13" s="17" t="inlineStr">
        <is>
          <t>High</t>
        </is>
      </c>
      <c r="F13" s="16" t="inlineStr">
        <is>
          <t>A product in the company. ORG_ADMIN credentials.</t>
        </is>
      </c>
      <c r="G13" s="16" t="inlineStr">
        <is>
          <t>1. POST /api/v1/pricing-rules/promotions with code='SUMMER10', name='Summer 10%', target=PRODUCT, targetProductUid=&lt;product-uid&gt;, effect=PERCENT_DISCOUNT, effectValue=10, effectiveFrom=today, effectiveTo=today+30d, priority=5.
2. Attempt effectValue=101 for PERCENT_DISCOUNT.
3. Attempt PRODUCT target without targetProductUid.
4. Verify via GET /api/v1/pricing-rules/promotions/uid/{uid} — no UI tab for promotions.</t>
        </is>
      </c>
      <c r="H13" s="16" t="inlineStr">
        <is>
          <t>Promotion code='SUMMER10', effectValue=10. Invalid: effectValue=101, missing targetProductUid.</t>
        </is>
      </c>
      <c r="I13" s="16" t="inlineStr">
        <is>
          <t>Step 1: HTTP 201 with PromotionDto. Step 2: 400 'effect_value must be 0-100'. Step 3: 400 'targetProductUid required when target=PRODUCT'. There is no Promotions tab in the Angular UI — Defect D-2.</t>
        </is>
      </c>
      <c r="J13" s="16" t="inlineStr">
        <is>
          <t>POST /api/v1/pricing-rules/promotions | GET /api/v1/pricing-rules/promotions/uid/{uid}</t>
        </is>
      </c>
      <c r="K13" s="16" t="inlineStr">
        <is>
          <t>SALES.PRICING.RULE.MANAGE</t>
        </is>
      </c>
      <c r="L13" s="16" t="inlineStr"/>
      <c r="M13" s="17" t="inlineStr">
        <is>
          <t>Not Run</t>
        </is>
      </c>
      <c r="N13" s="17" t="inlineStr"/>
      <c r="O13" s="16" t="inlineStr"/>
      <c r="P13" s="16" t="inlineStr"/>
      <c r="Q13" s="16" t="inlineStr"/>
    </row>
    <row r="14">
      <c r="A14" s="18" t="inlineStr">
        <is>
          <t>SADV-012</t>
        </is>
      </c>
      <c r="B14" s="19" t="inlineStr">
        <is>
          <t>Pricing Rules</t>
        </is>
      </c>
      <c r="C14" s="19" t="inlineStr">
        <is>
          <t>PriceSource diagnostic stamped on lines: CUSTOMER_PRICE &gt; PROMOTION &gt; TIER &gt; LIST_PRICE &gt; NONE</t>
        </is>
      </c>
      <c r="D14" s="8" t="inlineStr">
        <is>
          <t>Edge</t>
        </is>
      </c>
      <c r="E14" s="8" t="inlineStr">
        <is>
          <t>Low</t>
        </is>
      </c>
      <c r="F14" s="19" t="inlineStr">
        <is>
          <t>For one product+customer: active customer price, active promotion, active tier, and a list price. Also a product with none of these. Logged in as ORG_ADMIN.</t>
        </is>
      </c>
      <c r="G14" s="19" t="inlineStr">
        <is>
          <t>1. Create SO/invoice lines for each pricing scenario.
2. Inspect the stored price_source field on each line.</t>
        </is>
      </c>
      <c r="H14" s="19" t="inlineStr">
        <is>
          <t>Various products with different pricing rule coverage.</t>
        </is>
      </c>
      <c r="I14" s="19" t="inlineStr">
        <is>
          <t>price_source reflects which rule won: CUSTOMER_PRICE &gt; PROMOTION &gt; TIER &gt; LIST_PRICE &gt; NONE. A product with no rule and no list price gets NONE. Diagnostic only — not used in financial calculations.</t>
        </is>
      </c>
      <c r="J14" s="19" t="inlineStr">
        <is>
          <t>POST /api/v1/sales-orders/uid/{uid}/lines | POST /api/v1/sales-invoices/uid/{uid}/lines</t>
        </is>
      </c>
      <c r="K14" s="19" t="inlineStr">
        <is>
          <t>SALES.ORDER.CREATE | SALES.INVOICE.CREATE</t>
        </is>
      </c>
      <c r="L14" s="19" t="inlineStr"/>
      <c r="M14" s="8" t="inlineStr">
        <is>
          <t>Not Run</t>
        </is>
      </c>
      <c r="N14" s="8" t="inlineStr"/>
      <c r="O14" s="19" t="inlineStr"/>
      <c r="P14" s="19" t="inlineStr"/>
      <c r="Q14" s="19" t="inlineStr"/>
    </row>
    <row r="15">
      <c r="A15" s="15" t="inlineStr">
        <is>
          <t>SADV-013</t>
        </is>
      </c>
      <c r="B15" s="16" t="inlineStr">
        <is>
          <t>Nav &amp; Access</t>
        </is>
      </c>
      <c r="C15" s="16" t="inlineStr">
        <is>
          <t>Sales advanced nav visibility by role (Blanket/Standing/Pricing)</t>
        </is>
      </c>
      <c r="D15" s="17" t="inlineStr">
        <is>
          <t>Permission</t>
        </is>
      </c>
      <c r="E15" s="17" t="inlineStr">
        <is>
          <t>Medium</t>
        </is>
      </c>
      <c r="F15" s="16" t="inlineStr">
        <is>
          <t>Three user accounts: ORG_ADMIN (all VIEW perms), CUSTOM role with SALES.PRICING.RULE.VIEW only, NO-PERMISSION user.</t>
        </is>
      </c>
      <c r="G15" s="16" t="inlineStr">
        <is>
          <t>1. Log in as ORG_ADMIN: verify all three nav items visible (Blanket Orders, Standing Orders, Pricing Rules).
2. Log in as CUSTOM (PRICING.RULE.VIEW only): verify only 'Pricing Rules' nav item visible.
3. Log in as NO-PERMISSION: verify none of the three nav items visible.
4. As CUSTOM, navigate directly to /admin/blanket-orders — redirect to /admin/home.</t>
        </is>
      </c>
      <c r="H15" s="16" t="inlineStr">
        <is>
          <t>Three custom role configurations.</t>
        </is>
      </c>
      <c r="I15" s="16" t="inlineStr">
        <is>
          <t>Nav items shown only when user holds the matching VIEW permission code. Direct deep-links to hidden routes are blocked by requirePermission guard.</t>
        </is>
      </c>
      <c r="J15" s="16" t="inlineStr">
        <is>
          <t>/admin/blanket-orders | /admin/standing-orders | /admin/pricing-rules</t>
        </is>
      </c>
      <c r="K15" s="16" t="inlineStr">
        <is>
          <t>SALES.BLANKET.VIEW | SALES.STANDING.VIEW | SALES.PRICING.RULE.VIEW</t>
        </is>
      </c>
      <c r="L15" s="16" t="inlineStr"/>
      <c r="M15" s="17" t="inlineStr">
        <is>
          <t>Not Run</t>
        </is>
      </c>
      <c r="N15" s="17" t="inlineStr"/>
      <c r="O15" s="16" t="inlineStr"/>
      <c r="P15" s="16" t="inlineStr"/>
      <c r="Q15" s="16" t="inlineStr"/>
    </row>
    <row r="16">
      <c r="A16" s="18" t="inlineStr">
        <is>
          <t>SADV-014</t>
        </is>
      </c>
      <c r="B16" s="19" t="inlineStr">
        <is>
          <t>Blanket Orders</t>
        </is>
      </c>
      <c r="C16" s="19" t="inlineStr">
        <is>
          <t>Blanket detail: customer shows raw numeric id (C1 defect D-3); money formatting correct</t>
        </is>
      </c>
      <c r="D16" s="8" t="inlineStr">
        <is>
          <t>Edge</t>
        </is>
      </c>
      <c r="E16" s="8" t="inlineStr">
        <is>
          <t>Medium</t>
        </is>
      </c>
      <c r="F16" s="19" t="inlineStr">
        <is>
          <t>An ACTIVE blanket order with 2 lines. Logged in as ORG_ADMIN.</t>
        </is>
      </c>
      <c r="G16" s="19" t="inlineStr">
        <is>
          <t>1. Open /admin/blanket-orders/uid/:uid.
2. Note the customer field value.
3. Note the branch field in the draw form.
4. Verify money fields formatted 'TZS X,XXX.00'.</t>
        </is>
      </c>
      <c r="H16" s="19" t="inlineStr">
        <is>
          <t>Blanket with committed lines.</t>
        </is>
      </c>
      <c r="I16" s="19" t="inlineStr">
        <is>
          <t>Customer field shows raw numeric id — NOT display name (known C1 defect D-3 — flag, do not block). Branch field in draw form shows raw numeric id (user must hand-type). Money formatted correctly. remainingAmount = committed - drawn per line.</t>
        </is>
      </c>
      <c r="J16" s="19" t="inlineStr">
        <is>
          <t>/admin/blanket-orders/uid/:uid</t>
        </is>
      </c>
      <c r="K16" s="19" t="inlineStr">
        <is>
          <t>SALES.BLANKET.VIEW</t>
        </is>
      </c>
      <c r="L16" s="19" t="inlineStr"/>
      <c r="M16" s="8" t="inlineStr">
        <is>
          <t>Not Run</t>
        </is>
      </c>
      <c r="N16" s="8" t="inlineStr"/>
      <c r="O16" s="19" t="inlineStr"/>
      <c r="P16" s="19" t="inlineStr"/>
      <c r="Q16" s="19" t="inlineStr"/>
    </row>
    <row r="17">
      <c r="A17" s="15" t="inlineStr">
        <is>
          <t>SADV-015</t>
        </is>
      </c>
      <c r="B17" s="16" t="inlineStr">
        <is>
          <t>Standing Orders</t>
        </is>
      </c>
      <c r="C17" s="16" t="inlineStr">
        <is>
          <t>Standing order nextRunDate advances correctly for all four frequencies</t>
        </is>
      </c>
      <c r="D17" s="17" t="inlineStr">
        <is>
          <t>Positive</t>
        </is>
      </c>
      <c r="E17" s="17" t="inlineStr">
        <is>
          <t>Medium</t>
        </is>
      </c>
      <c r="F17" s="16" t="inlineStr">
        <is>
          <t>Four standing orders: DAILY, WEEKLY, BIWEEKLY, MONTHLY with nextRunDate=today. rootadmin logged in.</t>
        </is>
      </c>
      <c r="G17" s="16" t="inlineStr">
        <is>
          <t>1. Trigger each standing order.
2. Verify nextRunDate advances by 1d / 7d / 14d / 1 calendar month respectively.</t>
        </is>
      </c>
      <c r="H17" s="16" t="inlineStr">
        <is>
          <t>DAILY, WEEKLY, BIWEEKLY, MONTHLY — all nextRunDate=today.</t>
        </is>
      </c>
      <c r="I17" s="16" t="inlineStr">
        <is>
          <t>DAILY: +1d. WEEKLY: +7d. BIWEEKLY: +14d. MONTHLY: +1 calendar month (capped to end-of-month). Each trigger creates DRAFT SO with sourceStandingOrderUid.</t>
        </is>
      </c>
      <c r="J17" s="16" t="inlineStr">
        <is>
          <t>POST /api/v1/standing-orders/uid/{uid}/trigger</t>
        </is>
      </c>
      <c r="K17" s="16" t="inlineStr">
        <is>
          <t>SALES.STANDING.MANAGE</t>
        </is>
      </c>
      <c r="L17" s="16" t="inlineStr"/>
      <c r="M17" s="17" t="inlineStr">
        <is>
          <t>Not Run</t>
        </is>
      </c>
      <c r="N17" s="17" t="inlineStr"/>
      <c r="O17" s="16" t="inlineStr"/>
      <c r="P17" s="16" t="inlineStr"/>
      <c r="Q17" s="16" t="inlineStr"/>
    </row>
    <row r="18">
      <c r="A18" s="18" t="inlineStr">
        <is>
          <t>SADV-016</t>
        </is>
      </c>
      <c r="B18" s="19" t="inlineStr">
        <is>
          <t>Pricing Rules</t>
        </is>
      </c>
      <c r="C18" s="19" t="inlineStr">
        <is>
          <t>Promotion ALL-target AMOUNT_DISCOUNT applied on SO line; superseded by higher-priority CUSTOMER_PRICE</t>
        </is>
      </c>
      <c r="D18" s="8" t="inlineStr">
        <is>
          <t>Positive</t>
        </is>
      </c>
      <c r="E18" s="8" t="inlineStr">
        <is>
          <t>Low</t>
        </is>
      </c>
      <c r="F18" s="19" t="inlineStr">
        <is>
          <t>A PROMOTION with target=ALL, effect=AMOUNT_DISCOUNT, effectValue=500, active today. A second product with a customer-specific price. Logged in as ORG_ADMIN.</t>
        </is>
      </c>
      <c r="G18" s="19" t="inlineStr">
        <is>
          <t>1. Add SO line for a product covered by the ALL-target promotion.
2. Verify price_source=PROMOTION, net=qty*price-500.
3. Add SO line for the product with a customer price — verify price_source=CUSTOMER_PRICE (overrides promotion).</t>
        </is>
      </c>
      <c r="H18" s="19" t="inlineStr">
        <is>
          <t>Promotion effectValue=500. Line qty=3 unitPrice=2000. Customer price for second product.</t>
        </is>
      </c>
      <c r="I18" s="19" t="inlineStr">
        <is>
          <t>Step 2: price_source=PROMOTION, net=5500. Step 3: price_source=CUSTOMER_PRICE (higher priority wins). Pricing waterfall: CUSTOMER_PRICE &gt; PROMOTION &gt; TIER &gt; LIST_PRICE &gt; NONE.</t>
        </is>
      </c>
      <c r="J18" s="19" t="inlineStr">
        <is>
          <t>POST /api/v1/sales-orders/uid/{uid}/lines</t>
        </is>
      </c>
      <c r="K18" s="19" t="inlineStr">
        <is>
          <t>SALES.ORDER.CREATE</t>
        </is>
      </c>
      <c r="L18" s="19" t="inlineStr"/>
      <c r="M18" s="8" t="inlineStr">
        <is>
          <t>Not Run</t>
        </is>
      </c>
      <c r="N18" s="8" t="inlineStr"/>
      <c r="O18" s="19" t="inlineStr"/>
      <c r="P18" s="19" t="inlineStr"/>
      <c r="Q18" s="19" t="inlineStr"/>
    </row>
    <row r="19">
      <c r="A19" s="15" t="inlineStr">
        <is>
          <t>SADV-017</t>
        </is>
      </c>
      <c r="B19" s="16" t="inlineStr">
        <is>
          <t>Pricing Rules</t>
        </is>
      </c>
      <c r="C19" s="16" t="inlineStr">
        <is>
          <t>Deactivate customer price; VIEW-only denied; plain list confirmed (no paginator)</t>
        </is>
      </c>
      <c r="D19" s="17" t="inlineStr">
        <is>
          <t>Positive</t>
        </is>
      </c>
      <c r="E19" s="17" t="inlineStr">
        <is>
          <t>Medium</t>
        </is>
      </c>
      <c r="F19" s="16" t="inlineStr">
        <is>
          <t>An ACTIVE customer price. VIEW-only custom role user. Logged in as ORG_ADMIN.</t>
        </is>
      </c>
      <c r="G19" s="16" t="inlineStr">
        <is>
          <t>1. As ORG_ADMIN: Customer Prices tab; click Deactivate.
2. Verify toast 'Customer price deactivated'; row removed.
3. Confirm list has no paginator (plain array).
4. As VIEW-only user: attempt DELETE /api/v1/pricing-rules/customer-prices/uid/{uid} — expect 403.</t>
        </is>
      </c>
      <c r="H19" s="16" t="inlineStr">
        <is>
          <t>ACTIVE customer price. VIEW-only custom role.</t>
        </is>
      </c>
      <c r="I19" s="16" t="inlineStr">
        <is>
          <t>Step 1: DELETE soft-deletes (status=INACTIVE); row removed. Step 3: no app-paginator. Step 4: HTTP 403.</t>
        </is>
      </c>
      <c r="J19" s="16" t="inlineStr">
        <is>
          <t>DELETE /api/v1/pricing-rules/customer-prices/uid/{uid}</t>
        </is>
      </c>
      <c r="K19" s="16" t="inlineStr">
        <is>
          <t>SALES.PRICING.RULE.MANAGE</t>
        </is>
      </c>
      <c r="L19" s="16" t="inlineStr"/>
      <c r="M19" s="17" t="inlineStr">
        <is>
          <t>Not Run</t>
        </is>
      </c>
      <c r="N19" s="17" t="inlineStr"/>
      <c r="O19" s="16" t="inlineStr"/>
      <c r="P19" s="16" t="inlineStr"/>
      <c r="Q19" s="16" t="inlineStr"/>
    </row>
    <row r="20">
      <c r="A20" s="18" t="inlineStr">
        <is>
          <t>SADV-018</t>
        </is>
      </c>
      <c r="B20" s="19" t="inlineStr">
        <is>
          <t>Pricing Rules</t>
        </is>
      </c>
      <c r="C20" s="19" t="inlineStr">
        <is>
          <t>Pricing rules page: axe-core check on Tiers and Customer Prices tabs</t>
        </is>
      </c>
      <c r="D20" s="8" t="inlineStr">
        <is>
          <t>Positive</t>
        </is>
      </c>
      <c r="E20" s="8" t="inlineStr">
        <is>
          <t>High</t>
        </is>
      </c>
      <c r="F20" s="19" t="inlineStr">
        <is>
          <t>Pricing rules with 3+ tiers and 3+ customer prices. Logged in as ORG_ADMIN.</t>
        </is>
      </c>
      <c r="G20" s="19" t="inlineStr">
        <is>
          <t>1. Navigate to /admin/pricing-rules.
2. Click Tiers tab; run axe-core.
3. Click Customer Prices tab; run axe-core.</t>
        </is>
      </c>
      <c r="H20" s="19" t="inlineStr">
        <is>
          <t>3 tiers, 3 customer prices.</t>
        </is>
      </c>
      <c r="I20" s="19" t="inlineStr">
        <is>
          <t>Zero critical/serious violations (WCAG 2.1 AA gate). Tab controls have role=tab/tabpanel; labels present; no colour-only contrast failures.</t>
        </is>
      </c>
      <c r="J20" s="19" t="inlineStr">
        <is>
          <t>/admin/pricing-rules</t>
        </is>
      </c>
      <c r="K20" s="19" t="inlineStr">
        <is>
          <t>SALES.PRICING.RULE.VIEW</t>
        </is>
      </c>
      <c r="L20" s="19" t="inlineStr"/>
      <c r="M20" s="8" t="inlineStr">
        <is>
          <t>Not Run</t>
        </is>
      </c>
      <c r="N20" s="8" t="inlineStr"/>
      <c r="O20" s="19" t="inlineStr"/>
      <c r="P20" s="19" t="inlineStr"/>
      <c r="Q20" s="19" t="inlineStr"/>
    </row>
  </sheetData>
  <autoFilter ref="A2:Q20"/>
  <mergeCells count="1">
    <mergeCell ref="A1:Q1"/>
  </mergeCells>
  <dataValidations count="4">
    <dataValidation sqref="D3:D20" showDropDown="0" showInputMessage="0" showErrorMessage="0" allowBlank="1" type="list">
      <formula1>"Positive,Negative,Permission,Edge"</formula1>
    </dataValidation>
    <dataValidation sqref="E3:E20" showDropDown="0" showInputMessage="0" showErrorMessage="0" allowBlank="1" type="list">
      <formula1>"High,Medium,Low"</formula1>
    </dataValidation>
    <dataValidation sqref="M3:M20" showDropDown="0" showInputMessage="0" showErrorMessage="0" allowBlank="1" type="list">
      <formula1>"Not Run,Pass,Fail,Blocked,N/A"</formula1>
    </dataValidation>
    <dataValidation sqref="N3:N20" showDropDown="0" showInputMessage="0" showErrorMessage="0" allowBlank="1" type="list">
      <formula1>"-,Critical,High,Medium,Low"</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25"/>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POS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POS-001</t>
        </is>
      </c>
      <c r="B3" s="16" t="inlineStr">
        <is>
          <t>POS Tills</t>
        </is>
      </c>
      <c r="C3" s="16" t="inlineStr">
        <is>
          <t>POS nav group visible for user with POS codes; hidden for seeded ORG_ADMIN (Defect PERM)</t>
        </is>
      </c>
      <c r="D3" s="17" t="inlineStr">
        <is>
          <t>Permission</t>
        </is>
      </c>
      <c r="E3" s="17" t="inlineStr">
        <is>
          <t>High</t>
        </is>
      </c>
      <c r="F3" s="16" t="inlineStr">
        <is>
          <t>Three users: rootadmin, ORG_ADMIN (holds SALES.POS.* codes, NOT POS.* codes), NO-PERMISSION user.</t>
        </is>
      </c>
      <c r="G3" s="16" t="inlineStr">
        <is>
          <t>1. Log in as rootadmin; navigate to /admin/home; expand 'Point of Sale' sidebar group; confirm three items (Point of Sale /admin/pos/sell, POS Sessions, POS Tills).
2. Log out; log in as NO-PERMISSION user; confirm POS group and items absent.
3. Log in as ORG_ADMIN; confirm POS items are ALSO hidden (DEFECT-POS-PERM: controllers check POS.* but seed grants SALES.POS.* — mismatch causes 403 for all non-root users).</t>
        </is>
      </c>
      <c r="H3" s="16" t="inlineStr">
        <is>
          <t>rootadmin, NO-PERMISSION, ORG_ADMIN credentials.</t>
        </is>
      </c>
      <c r="I3" s="16" t="inlineStr">
        <is>
          <t>rootadmin sees all three POS nav links. NO-PERMISSION and seeded ORG_ADMIN see none (DEFECT-POS-PERM). Direct nav to any /admin/pos/* route redirects to /admin/home for the no-perm user.</t>
        </is>
      </c>
      <c r="J3" s="16" t="inlineStr">
        <is>
          <t>/admin/pos/tills | /admin/pos/sessions | /admin/pos/sell</t>
        </is>
      </c>
      <c r="K3" s="16" t="inlineStr">
        <is>
          <t>POS.TILL.VIEW | POS.SESSION.VIEW | POS.SALE.CREATE (vs seeded SALES.POS.* — mismatch)</t>
        </is>
      </c>
      <c r="L3" s="16" t="inlineStr"/>
      <c r="M3" s="17" t="inlineStr">
        <is>
          <t>Not Run</t>
        </is>
      </c>
      <c r="N3" s="17" t="inlineStr"/>
      <c r="O3" s="16" t="inlineStr"/>
      <c r="P3" s="16" t="inlineStr"/>
      <c r="Q3" s="16" t="inlineStr"/>
    </row>
    <row r="4">
      <c r="A4" s="18" t="inlineStr">
        <is>
          <t>POS-002</t>
        </is>
      </c>
      <c r="B4" s="19" t="inlineStr">
        <is>
          <t>POS Tills</t>
        </is>
      </c>
      <c r="C4" s="19" t="inlineStr">
        <is>
          <t>Create a POS till (manager); deactivate (soft-delete)</t>
        </is>
      </c>
      <c r="D4" s="8" t="inlineStr">
        <is>
          <t>Positive</t>
        </is>
      </c>
      <c r="E4" s="8" t="inlineStr">
        <is>
          <t>High</t>
        </is>
      </c>
      <c r="F4" s="19" t="inlineStr">
        <is>
          <t>Company with at least 1 active branch. A user/role holding POS.TILL.MANAGE (rootadmin or custom). Logged in.</t>
        </is>
      </c>
      <c r="G4" s="19" t="inlineStr">
        <is>
          <t>1. Navigate to /admin/pos/tills; click 'New Till'.
2. Enter Till Name='Counter 1'; pick Branch by name via app-uid-picker. Submit.
3. Verify success alert 'Till created'; new row with status ACTIVE.
4. Click 'Deactivate' on the row; verify status=INACTIVE (HTTP via DELETE).</t>
        </is>
      </c>
      <c r="H4" s="19" t="inlineStr">
        <is>
          <t>name='Counter 1', branch by name='Head Office'.</t>
        </is>
      </c>
      <c r="I4" s="19" t="inlineStr">
        <is>
          <t>Step 2: HTTP 201; PosTillDto with code server-assigned. Branch chosen by name, no uid typed. Step 4: status=INACTIVE (soft-delete). A cashier role without POS.TILL.MANAGE sees no 'New Till' button and gets 403 on direct POST.</t>
        </is>
      </c>
      <c r="J4" s="19" t="inlineStr">
        <is>
          <t>/admin/pos/tills | POST /api/v1/pos/tills | DELETE /api/v1/pos/tills/uid/{uid}</t>
        </is>
      </c>
      <c r="K4" s="19" t="inlineStr">
        <is>
          <t>POS.TILL.MANAGE</t>
        </is>
      </c>
      <c r="L4" s="19" t="inlineStr"/>
      <c r="M4" s="8" t="inlineStr">
        <is>
          <t>Not Run</t>
        </is>
      </c>
      <c r="N4" s="8" t="inlineStr"/>
      <c r="O4" s="19" t="inlineStr"/>
      <c r="P4" s="19" t="inlineStr"/>
      <c r="Q4" s="19" t="inlineStr"/>
    </row>
    <row r="5">
      <c r="A5" s="15" t="inlineStr">
        <is>
          <t>POS-003</t>
        </is>
      </c>
      <c r="B5" s="16" t="inlineStr">
        <is>
          <t>POS Tills</t>
        </is>
      </c>
      <c r="C5" s="16" t="inlineStr">
        <is>
          <t>Till list: four states (loading/empty/error/forbidden) + branch filter + cross-tenant denied</t>
        </is>
      </c>
      <c r="D5" s="17" t="inlineStr">
        <is>
          <t>Positive</t>
        </is>
      </c>
      <c r="E5" s="17" t="inlineStr">
        <is>
          <t>Medium</t>
        </is>
      </c>
      <c r="F5" s="16" t="inlineStr">
        <is>
          <t>Multi-branch company with tills in each branch. A cross-tenant till in Company B.</t>
        </is>
      </c>
      <c r="G5" s="16" t="inlineStr">
        <is>
          <t>1. Navigate /admin/pos/tills; assert loading state before table resolves.
2. Select Branch A filter — only branch A tills listed.
3. Select Branch B filter.
4. Select 'All branches' — both shown.
5. Stub GET 500 — error state 'Could not load tills. Please try again.'.
6. Stub 403 — forbidden state.
7. GET /api/v1/pos/tills/uid/{B-till-uid} as Company A user — expect 403.</t>
        </is>
      </c>
      <c r="H5" s="16" t="inlineStr">
        <is>
          <t>Two branches with distinct tills. Company B till uid.</t>
        </is>
      </c>
      <c r="I5" s="16" t="inlineStr">
        <is>
          <t>Each of four states renders distinctly. Branch filter scopes correctly. Cross-tenant get returns 403. Branch column shows raw numeric branchId (known C1 violation CONVENTION-POS-UID — flag it).</t>
        </is>
      </c>
      <c r="J5" s="16" t="inlineStr">
        <is>
          <t>/admin/pos/tills | GET /api/v1/pos/tills | GET /api/v1/pos/tills/uid/{uid}</t>
        </is>
      </c>
      <c r="K5" s="16" t="inlineStr">
        <is>
          <t>POS.TILL.VIEW</t>
        </is>
      </c>
      <c r="L5" s="16" t="inlineStr"/>
      <c r="M5" s="17" t="inlineStr">
        <is>
          <t>Not Run</t>
        </is>
      </c>
      <c r="N5" s="17" t="inlineStr"/>
      <c r="O5" s="16" t="inlineStr"/>
      <c r="P5" s="16" t="inlineStr"/>
      <c r="Q5" s="16" t="inlineStr"/>
    </row>
    <row r="6">
      <c r="A6" s="18" t="inlineStr">
        <is>
          <t>POS-004</t>
        </is>
      </c>
      <c r="B6" s="19" t="inlineStr">
        <is>
          <t>POS Sessions</t>
        </is>
      </c>
      <c r="C6" s="19" t="inlineStr">
        <is>
          <t>Open a POS session with opening float; one-open-session-per-till invariant</t>
        </is>
      </c>
      <c r="D6" s="8" t="inlineStr">
        <is>
          <t>Positive</t>
        </is>
      </c>
      <c r="E6" s="8" t="inlineStr">
        <is>
          <t>High</t>
        </is>
      </c>
      <c r="F6" s="19" t="inlineStr">
        <is>
          <t>An ACTIVE till. A user/role holding POS.SESSION.OPEN. Logged in.</t>
        </is>
      </c>
      <c r="G6" s="19" t="inlineStr">
        <is>
          <t>1. Navigate to /admin/pos/sessions; click 'Open Session'.
2. Pick till by name (only ACTIVE tills listed) via app-uid-picker; enter openingFloat=100000.00. Submit.
3. Verify new row with status=OPEN.
4. Attempt to open a SECOND session on the same till while first is OPEN.</t>
        </is>
      </c>
      <c r="H6" s="19" t="inlineStr">
        <is>
          <t>ACTIVE till. openingFloatAmount=100000.00.</t>
        </is>
      </c>
      <c r="I6" s="19" t="inlineStr">
        <is>
          <t>Step 2: HTTP 201; session status=OPEN, cashierId=acting user, openedAt set. Till chosen by name. Float blank/negative returns 400. Step 4: HTTP 409 'Till already has an OPEN session' (DB ux_pos_session_one_open).</t>
        </is>
      </c>
      <c r="J6" s="19" t="inlineStr">
        <is>
          <t>/admin/pos/sessions | POST /api/v1/pos/sessions</t>
        </is>
      </c>
      <c r="K6" s="19" t="inlineStr">
        <is>
          <t>POS.SESSION.OPEN</t>
        </is>
      </c>
      <c r="L6" s="19" t="inlineStr"/>
      <c r="M6" s="8" t="inlineStr">
        <is>
          <t>Not Run</t>
        </is>
      </c>
      <c r="N6" s="8" t="inlineStr"/>
      <c r="O6" s="19" t="inlineStr"/>
      <c r="P6" s="19" t="inlineStr"/>
      <c r="Q6" s="19" t="inlineStr"/>
    </row>
    <row r="7">
      <c r="A7" s="15" t="inlineStr">
        <is>
          <t>POS-005</t>
        </is>
      </c>
      <c r="B7" s="16" t="inlineStr">
        <is>
          <t>POS Sessions</t>
        </is>
      </c>
      <c r="C7" s="16" t="inlineStr">
        <is>
          <t>Session list: pagination, company scoping; session uid shown in list (C1 violation flag)</t>
        </is>
      </c>
      <c r="D7" s="17" t="inlineStr">
        <is>
          <t>Positive</t>
        </is>
      </c>
      <c r="E7" s="17" t="inlineStr">
        <is>
          <t>Medium</t>
        </is>
      </c>
      <c r="F7" s="16" t="inlineStr">
        <is>
          <t>At least 21 sessions for the company (default page size 20). Logged in.</t>
        </is>
      </c>
      <c r="G7" s="16" t="inlineStr">
        <is>
          <t>1. Navigate to /admin/pos/sessions.
2. Exercise paginator: NEXT, LAST, FIRST, PREVIOUS.
3. Verify meta {page,size,totalElements,totalPages,hasNext}.
4. Switch company — verify data re-scopes.
5. Note: session uid is rendered in a visible 'Session UID' column — flag as CONVENTION-POS-UID violation.</t>
        </is>
      </c>
      <c r="H7" s="16" t="inlineStr">
        <is>
          <t>21+ sessions.</t>
        </is>
      </c>
      <c r="I7" s="16" t="inlineStr">
        <is>
          <t>Paged list. Paginator full control set. Meta populated. Company switch re-scopes. Session uid visible in list column is a known C1 violation (flag but do not block).</t>
        </is>
      </c>
      <c r="J7" s="16" t="inlineStr">
        <is>
          <t>/admin/pos/sessions | GET /api/v1/pos/sessions?companyId=&amp;page=&amp;size=</t>
        </is>
      </c>
      <c r="K7" s="16" t="inlineStr">
        <is>
          <t>POS.SESSION.VIEW</t>
        </is>
      </c>
      <c r="L7" s="16" t="inlineStr"/>
      <c r="M7" s="17" t="inlineStr">
        <is>
          <t>Not Run</t>
        </is>
      </c>
      <c r="N7" s="17" t="inlineStr"/>
      <c r="O7" s="16" t="inlineStr"/>
      <c r="P7" s="16" t="inlineStr"/>
      <c r="Q7" s="16" t="inlineStr"/>
    </row>
    <row r="8">
      <c r="A8" s="18" t="inlineStr">
        <is>
          <t>POS-006</t>
        </is>
      </c>
      <c r="B8" s="19" t="inlineStr">
        <is>
          <t>POS Sessions</t>
        </is>
      </c>
      <c r="C8" s="19" t="inlineStr">
        <is>
          <t>X-read on OPEN session shows live totals; X-read on non-OPEN session rejected</t>
        </is>
      </c>
      <c r="D8" s="8" t="inlineStr">
        <is>
          <t>Positive</t>
        </is>
      </c>
      <c r="E8" s="8" t="inlineStr">
        <is>
          <t>High</t>
        </is>
      </c>
      <c r="F8" s="19" t="inlineStr">
        <is>
          <t>An OPEN session with at least one sale. Logged in.</t>
        </is>
      </c>
      <c r="G8" s="19" t="inlineStr">
        <is>
          <t>1. Open session detail at /admin/pos/sessions/uid/:uid.
2. Assert X-Read card shows: Sales Total, Payouts, Expected Cash, Invoice Count.
3. Refresh X-read; assert it reloads.
4. Attempt GET .../x-read on a CLOSED session.</t>
        </is>
      </c>
      <c r="H8" s="19" t="inlineStr">
        <is>
          <t>OPEN session with sales.</t>
        </is>
      </c>
      <c r="I8" s="19" t="inlineStr">
        <is>
          <t>XReadDto: expectedCash = openingFloat + cashSales - payouts. X-read card has loading/error sub-states. Calling x-read on a non-OPEN session returns 409 'Session is not OPEN'.</t>
        </is>
      </c>
      <c r="J8" s="19" t="inlineStr">
        <is>
          <t>GET /api/v1/pos/sessions/uid/{uid}/x-read</t>
        </is>
      </c>
      <c r="K8" s="19" t="inlineStr">
        <is>
          <t>POS.SESSION.VIEW</t>
        </is>
      </c>
      <c r="L8" s="19" t="inlineStr"/>
      <c r="M8" s="8" t="inlineStr">
        <is>
          <t>Not Run</t>
        </is>
      </c>
      <c r="N8" s="8" t="inlineStr"/>
      <c r="O8" s="19" t="inlineStr"/>
      <c r="P8" s="19" t="inlineStr"/>
      <c r="Q8" s="19" t="inlineStr"/>
    </row>
    <row r="9">
      <c r="A9" s="15" t="inlineStr">
        <is>
          <t>POS-007</t>
        </is>
      </c>
      <c r="B9" s="16" t="inlineStr">
        <is>
          <t>POS Sessions</t>
        </is>
      </c>
      <c r="C9" s="16" t="inlineStr">
        <is>
          <t>Record PAID_OUT and REFUND payouts; payout on non-OPEN session rejected</t>
        </is>
      </c>
      <c r="D9" s="17" t="inlineStr">
        <is>
          <t>Positive</t>
        </is>
      </c>
      <c r="E9" s="17" t="inlineStr">
        <is>
          <t>High</t>
        </is>
      </c>
      <c r="F9" s="16" t="inlineStr">
        <is>
          <t>An OPEN session. Logged in with POS.SESSION.OPEN.</t>
        </is>
      </c>
      <c r="G9" s="16" t="inlineStr">
        <is>
          <t>1. Click 'Record Payout'; type=PAID_OUT, amount=5000, reason='Drawer-to-safe drop'. Submit.
2. Verify X-read Payouts increased by 5000; Expected Cash decreased by 5000.
3. Add type=REFUND, amount=2500, reason='Customer cash refund'.
4. Attempt payout on a CLOSED session.</t>
        </is>
      </c>
      <c r="H9" s="16" t="inlineStr">
        <is>
          <t>PAID_OUT amount=5000. REFUND amount=2500. CLOSED session uid.</t>
        </is>
      </c>
      <c r="I9" s="16" t="inlineStr">
        <is>
          <t>Steps 1 and 3: Payout persisted; expected cash decreases (both types subtract). Amount&lt;=0 returns 400. Step 4: HTTP 409 'is not OPEN'. Payout uses POS.SESSION.OPEN permission (not a separate payout permission).</t>
        </is>
      </c>
      <c r="J9" s="16" t="inlineStr">
        <is>
          <t>POST /api/v1/pos/sessions/uid/{uid}/payouts</t>
        </is>
      </c>
      <c r="K9" s="16" t="inlineStr">
        <is>
          <t>POS.SESSION.OPEN</t>
        </is>
      </c>
      <c r="L9" s="16" t="inlineStr"/>
      <c r="M9" s="17" t="inlineStr">
        <is>
          <t>Not Run</t>
        </is>
      </c>
      <c r="N9" s="17" t="inlineStr"/>
      <c r="O9" s="16" t="inlineStr"/>
      <c r="P9" s="16" t="inlineStr"/>
      <c r="Q9" s="16" t="inlineStr"/>
    </row>
    <row r="10">
      <c r="A10" s="18" t="inlineStr">
        <is>
          <t>POS-008</t>
        </is>
      </c>
      <c r="B10" s="19" t="inlineStr">
        <is>
          <t>POS Sessions</t>
        </is>
      </c>
      <c r="C10" s="19" t="inlineStr">
        <is>
          <t>Close session: declare counted cash; zero/over/short variance recorded</t>
        </is>
      </c>
      <c r="D10" s="8" t="inlineStr">
        <is>
          <t>Positive</t>
        </is>
      </c>
      <c r="E10" s="8" t="inlineStr">
        <is>
          <t>High</t>
        </is>
      </c>
      <c r="F10" s="19" t="inlineStr">
        <is>
          <t>An OPEN session with known expectedCash=100000. Logged in with POS.SESSION.CLOSE.</t>
        </is>
      </c>
      <c r="G10" s="19" t="inlineStr">
        <is>
          <t>1. Click 'Close Session'; enter countedCash=100000.00 (exact). Submit.
2. Verify variance=0.00, status=CLOSED.
3. Test close with countedCash=100500 (over): verify variance=+500.00.
4. Test close with countedCash=99500 (short): verify variance=-500.00.
5. Attempt close on an already-CLOSED session.</t>
        </is>
      </c>
      <c r="H10" s="19" t="inlineStr">
        <is>
          <t>Expected cash=100000. Test counts: 100000, 100500, 99500.</t>
        </is>
      </c>
      <c r="I10" s="19" t="inlineStr">
        <is>
          <t>HTTP 204 each. varianceAmount = counted - expected. Zero variance: no GL yet. Over: +500 badge (info). Short: -500 badge (danger). Closing already-CLOSED returns 409 'is not OPEN'. Blank/negative counted blocked by UI; API has no minimum (negative blocked by DB chk).</t>
        </is>
      </c>
      <c r="J10" s="19" t="inlineStr">
        <is>
          <t>POST /api/v1/pos/sessions/uid/{uid}/close</t>
        </is>
      </c>
      <c r="K10" s="19" t="inlineStr">
        <is>
          <t>POS.SESSION.CLOSE</t>
        </is>
      </c>
      <c r="L10" s="19" t="inlineStr"/>
      <c r="M10" s="8" t="inlineStr">
        <is>
          <t>Not Run</t>
        </is>
      </c>
      <c r="N10" s="8" t="inlineStr"/>
      <c r="O10" s="19" t="inlineStr"/>
      <c r="P10" s="19" t="inlineStr"/>
      <c r="Q10" s="19" t="inlineStr"/>
    </row>
    <row r="11">
      <c r="A11" s="15" t="inlineStr">
        <is>
          <t>POS-009</t>
        </is>
      </c>
      <c r="B11" s="16" t="inlineStr">
        <is>
          <t>POS Sessions</t>
        </is>
      </c>
      <c r="C11" s="16" t="inlineStr">
        <is>
          <t>Reconcile CLOSED session: zero variance (no journal); over variance (DR Cash/CR 4900); short (DR 5170/CR Cash)</t>
        </is>
      </c>
      <c r="D11" s="17" t="inlineStr">
        <is>
          <t>Positive</t>
        </is>
      </c>
      <c r="E11" s="17" t="inlineStr">
        <is>
          <t>High</t>
        </is>
      </c>
      <c r="F11" s="16" t="inlineStr">
        <is>
          <t>Three CLOSED sessions: zero variance, +500 over, -500 short. GL configs CASH/POS_CASH_OVER/POS_CASH_SHORT seeded (V43). Logged in with POS.SESSION.RECONCILE.</t>
        </is>
      </c>
      <c r="G11" s="16" t="inlineStr">
        <is>
          <t>1. Reconcile zero-variance session: verify status=RECONCILED, Z-Read shows Variance=0, no journalId.
2. Reconcile over-session (+500): verify journalId set; GL journal DR CASH 500 / CR 4900 500.
3. Reconcile short-session (-500): verify journalId set; GL journal DR 5170 500 / CR CASH 500.
4. Attempt reconcile on an already-RECONCILED session.</t>
        </is>
      </c>
      <c r="H11" s="16" t="inlineStr">
        <is>
          <t>Three CLOSED sessions. GL config codes: CASH, POS_CASH_OVER (4900), POS_CASH_SHORT (5170).</t>
        </is>
      </c>
      <c r="I11" s="16" t="inlineStr">
        <is>
          <t>Step 1: no journal. Steps 2 and 3: balanced journals posted. Step 4: HTTP 409 'Session must be CLOSED before reconciliation'. Missing GL config causes fail-fast on reconcile — session stays CLOSED.</t>
        </is>
      </c>
      <c r="J11" s="16" t="inlineStr">
        <is>
          <t>POST /api/v1/pos/sessions/uid/{uid}/reconcile</t>
        </is>
      </c>
      <c r="K11" s="16" t="inlineStr">
        <is>
          <t>POS.SESSION.RECONCILE</t>
        </is>
      </c>
      <c r="L11" s="16" t="inlineStr"/>
      <c r="M11" s="17" t="inlineStr">
        <is>
          <t>Not Run</t>
        </is>
      </c>
      <c r="N11" s="17" t="inlineStr"/>
      <c r="O11" s="16" t="inlineStr"/>
      <c r="P11" s="16" t="inlineStr"/>
      <c r="Q11" s="16" t="inlineStr"/>
    </row>
    <row r="12">
      <c r="A12" s="18" t="inlineStr">
        <is>
          <t>POS-010</t>
        </is>
      </c>
      <c r="B12" s="19" t="inlineStr">
        <is>
          <t>POS Sessions</t>
        </is>
      </c>
      <c r="C12" s="19" t="inlineStr">
        <is>
          <t>Illegal session transition matrix</t>
        </is>
      </c>
      <c r="D12" s="8" t="inlineStr">
        <is>
          <t>Negative</t>
        </is>
      </c>
      <c r="E12" s="8" t="inlineStr">
        <is>
          <t>High</t>
        </is>
      </c>
      <c r="F12" s="19" t="inlineStr">
        <is>
          <t>Sessions in OPEN, CLOSED, RECONCILED states.</t>
        </is>
      </c>
      <c r="G12" s="19" t="inlineStr">
        <is>
          <t>1. Reconcile an OPEN session → 409.
2. Close a CLOSED session → 409.
3. Close a RECONCILED session → 409.
4. Reconcile a RECONCILED session → 409.
5. Payout on CLOSED or RECONCILED → 409.
6. X-read on CLOSED or RECONCILED → 409.
7. Sell (/pos/sales) against CLOSED/RECONCILED session → 409.
8. Confirm no endpoint exists to reopen (no backwards transition).</t>
        </is>
      </c>
      <c r="H12" s="19" t="inlineStr">
        <is>
          <t>Sessions in each status.</t>
        </is>
      </c>
      <c r="I12" s="19" t="inlineStr">
        <is>
          <t>Each illegal transition returns HTTP 409 with the stated message. No state change. Legal chain OPEN→CLOSE→RECONCILE always succeeds in order.</t>
        </is>
      </c>
      <c r="J12" s="19" t="inlineStr">
        <is>
          <t>POST /api/v1/pos/sessions/uid/{uid}/close | /reconcile | /payouts | GET .../x-read | POST /api/v1/pos/sales</t>
        </is>
      </c>
      <c r="K12" s="19" t="inlineStr">
        <is>
          <t>POS.SESSION.CLOSE | POS.SESSION.RECONCILE | POS.SESSION.OPEN | POS.SALE.CREATE</t>
        </is>
      </c>
      <c r="L12" s="19" t="inlineStr"/>
      <c r="M12" s="8" t="inlineStr">
        <is>
          <t>Not Run</t>
        </is>
      </c>
      <c r="N12" s="8" t="inlineStr"/>
      <c r="O12" s="19" t="inlineStr"/>
      <c r="P12" s="19" t="inlineStr"/>
      <c r="Q12" s="19" t="inlineStr"/>
    </row>
    <row r="13">
      <c r="A13" s="15" t="inlineStr">
        <is>
          <t>POS-011</t>
        </is>
      </c>
      <c r="B13" s="16" t="inlineStr">
        <is>
          <t>POS Checkout</t>
        </is>
      </c>
      <c r="C13" s="16" t="inlineStr">
        <is>
          <t>Quick sale: walk-in customer, single GOODS line, CASH tender, change shown</t>
        </is>
      </c>
      <c r="D13" s="17" t="inlineStr">
        <is>
          <t>Positive</t>
        </is>
      </c>
      <c r="E13" s="17" t="inlineStr">
        <is>
          <t>High</t>
        </is>
      </c>
      <c r="F13" s="16" t="inlineStr">
        <is>
          <t>OPEN session. ACTIVE CASH_WALK_IN customer. Sellable GOODS product with price. ACTIVE agent. User with POS.SALE.CREATE.</t>
        </is>
      </c>
      <c r="G13" s="16" t="inlineStr">
        <is>
          <t>1. Navigate to /admin/pos/sell; select company.
2. Pick session (only OPEN sessions listed) by label; pick customer by name; pick agent by name.
3. Currency=TZS.
4. Add line: pick product by name; qty=2; unitPrice=1500; discount=0. Assert line subtotal=3000 and footer Total 'TZS 3,000.00'.
5. Enter tendered=5000; assert change='TZS 2,000.00' in success colour.
6. Click 'Complete Sale'.
7. Assert receipt: invoice number, 'Total: TZS 3,000.00', 'View Invoice' link, 'New Sale' button.</t>
        </is>
      </c>
      <c r="H13" s="16" t="inlineStr">
        <is>
          <t>qty=2 × 1500=3000. tendered=5000. change=2000.</t>
        </is>
      </c>
      <c r="I13" s="16" t="inlineStr">
        <is>
          <t>HTTP 201 SalesInvoiceDto. origin=POS. FINALISED status. CASH payment for full gross 3000. posSessionId set. Session cash-sales total increases. All resources chosen by name via picker.</t>
        </is>
      </c>
      <c r="J13" s="16" t="inlineStr">
        <is>
          <t>/admin/pos/sell | POST /api/v1/pos/sales</t>
        </is>
      </c>
      <c r="K13" s="16" t="inlineStr">
        <is>
          <t>POS.SALE.CREATE</t>
        </is>
      </c>
      <c r="L13" s="16" t="inlineStr"/>
      <c r="M13" s="17" t="inlineStr">
        <is>
          <t>Not Run</t>
        </is>
      </c>
      <c r="N13" s="17" t="inlineStr"/>
      <c r="O13" s="16" t="inlineStr"/>
      <c r="P13" s="16" t="inlineStr"/>
      <c r="Q13" s="16" t="inlineStr"/>
    </row>
    <row r="14">
      <c r="A14" s="18" t="inlineStr">
        <is>
          <t>POS-012</t>
        </is>
      </c>
      <c r="B14" s="19" t="inlineStr">
        <is>
          <t>POS Checkout</t>
        </is>
      </c>
      <c r="C14" s="19" t="inlineStr">
        <is>
          <t>Checkout validation: required fields and line validation block submit</t>
        </is>
      </c>
      <c r="D14" s="8" t="inlineStr">
        <is>
          <t>Negative</t>
        </is>
      </c>
      <c r="E14" s="8" t="inlineStr">
        <is>
          <t>High</t>
        </is>
      </c>
      <c r="F14" s="19" t="inlineStr">
        <is>
          <t>OPEN session present. User with POS.SALE.CREATE.</t>
        </is>
      </c>
      <c r="G14" s="19" t="inlineStr">
        <is>
          <t>1. Submit with no session → 'Session is required.'.
2. Add session; submit with no customer → 'Customer is required.'.
3. Clear currency → 'Currency is required.'.
4. No line items → 'Add at least one line item.'.
5. Line with no product → 'Select a product for every line.'.
6. Line with no unit → 'Select a unit for every line.'.
7. Qty=0 → 'Quantity must be positive for every line.'.
8. Unit price negative → 'Unit price must be non-negative for every line.'.</t>
        </is>
      </c>
      <c r="H14" s="19" t="inlineStr">
        <is>
          <t>Each invalid field configuration.</t>
        </is>
      </c>
      <c r="I14" s="19" t="inlineStr">
        <is>
          <t>Each missing/invalid field blocks submit with the exact inline error message. No POST fired until all fields valid.</t>
        </is>
      </c>
      <c r="J14" s="19" t="inlineStr">
        <is>
          <t>/admin/pos/sell</t>
        </is>
      </c>
      <c r="K14" s="19" t="inlineStr">
        <is>
          <t>POS.SALE.CREATE</t>
        </is>
      </c>
      <c r="L14" s="19" t="inlineStr"/>
      <c r="M14" s="8" t="inlineStr">
        <is>
          <t>Not Run</t>
        </is>
      </c>
      <c r="N14" s="8" t="inlineStr"/>
      <c r="O14" s="19" t="inlineStr"/>
      <c r="P14" s="19" t="inlineStr"/>
      <c r="Q14" s="19" t="inlineStr"/>
    </row>
    <row r="15">
      <c r="A15" s="15" t="inlineStr">
        <is>
          <t>POS-013</t>
        </is>
      </c>
      <c r="B15" s="16" t="inlineStr">
        <is>
          <t>POS Checkout</t>
        </is>
      </c>
      <c r="C15" s="16" t="inlineStr">
        <is>
          <t>Tendered amount must cover total; negative change blocked</t>
        </is>
      </c>
      <c r="D15" s="17" t="inlineStr">
        <is>
          <t>Negative</t>
        </is>
      </c>
      <c r="E15" s="17" t="inlineStr">
        <is>
          <t>High</t>
        </is>
      </c>
      <c r="F15" s="16" t="inlineStr">
        <is>
          <t>Sale total=3000. User with POS.SALE.CREATE.</t>
        </is>
      </c>
      <c r="G15" s="16" t="inlineStr">
        <is>
          <t>1. Build a sale totalling 3000; enter tendered=2000.
2. Observe change shows 'TZS -1,000.00' in danger colour.
3. Attempt to submit.</t>
        </is>
      </c>
      <c r="H15" s="16" t="inlineStr">
        <is>
          <t>Total=3000. Tendered=2000.</t>
        </is>
      </c>
      <c r="I15" s="16" t="inlineStr">
        <is>
          <t>Submit blocked client-side: 'Tendered amount is less than the total.' Tendered blank/negative → 'Tendered amount must be a valid non-negative number.' Tendered equal to total (change=0) is allowed.</t>
        </is>
      </c>
      <c r="J15" s="16" t="inlineStr">
        <is>
          <t>/admin/pos/sell</t>
        </is>
      </c>
      <c r="K15" s="16" t="inlineStr">
        <is>
          <t>POS.SALE.CREATE</t>
        </is>
      </c>
      <c r="L15" s="16" t="inlineStr"/>
      <c r="M15" s="17" t="inlineStr">
        <is>
          <t>Not Run</t>
        </is>
      </c>
      <c r="N15" s="17" t="inlineStr"/>
      <c r="O15" s="16" t="inlineStr"/>
      <c r="P15" s="16" t="inlineStr"/>
      <c r="Q15" s="16" t="inlineStr"/>
    </row>
    <row r="16">
      <c r="A16" s="18" t="inlineStr">
        <is>
          <t>POS-014</t>
        </is>
      </c>
      <c r="B16" s="19" t="inlineStr">
        <is>
          <t>POS Checkout</t>
        </is>
      </c>
      <c r="C16" s="19" t="inlineStr">
        <is>
          <t>Sale on CLOSED session rejected (UI filters + API guard)</t>
        </is>
      </c>
      <c r="D16" s="8" t="inlineStr">
        <is>
          <t>Negative</t>
        </is>
      </c>
      <c r="E16" s="8" t="inlineStr">
        <is>
          <t>High</t>
        </is>
      </c>
      <c r="F16" s="19" t="inlineStr">
        <is>
          <t>A CLOSED session. User with POS.SALE.CREATE.</t>
        </is>
      </c>
      <c r="G16" s="19" t="inlineStr">
        <is>
          <t>1. Open session picker — confirm CLOSED sessions are NOT listed (UI filters status=OPEN).
2. Directly POST /api/v1/pos/sales with a CLOSED sessionUid.</t>
        </is>
      </c>
      <c r="H16" s="19" t="inlineStr">
        <is>
          <t>CLOSED session uid.</t>
        </is>
      </c>
      <c r="I16" s="19" t="inlineStr">
        <is>
          <t>UI: CLOSED session absent from picker. API: HTTP 409 'POS session is not OPEN'. Non-existent sessionUid returns 404.</t>
        </is>
      </c>
      <c r="J16" s="19" t="inlineStr">
        <is>
          <t>POST /api/v1/pos/sales</t>
        </is>
      </c>
      <c r="K16" s="19" t="inlineStr">
        <is>
          <t>POS.SALE.CREATE</t>
        </is>
      </c>
      <c r="L16" s="19" t="inlineStr"/>
      <c r="M16" s="8" t="inlineStr">
        <is>
          <t>Not Run</t>
        </is>
      </c>
      <c r="N16" s="8" t="inlineStr"/>
      <c r="O16" s="19" t="inlineStr"/>
      <c r="P16" s="19" t="inlineStr"/>
      <c r="Q16" s="19" t="inlineStr"/>
    </row>
    <row r="17">
      <c r="A17" s="15" t="inlineStr">
        <is>
          <t>POS-015</t>
        </is>
      </c>
      <c r="B17" s="16" t="inlineStr">
        <is>
          <t>POS Checkout</t>
        </is>
      </c>
      <c r="C17" s="16" t="inlineStr">
        <is>
          <t>POS sale tender is CASH-only; MOBILE_MONEY not selectable (Defect TENDER)</t>
        </is>
      </c>
      <c r="D17" s="17" t="inlineStr">
        <is>
          <t>Edge</t>
        </is>
      </c>
      <c r="E17" s="17" t="inlineStr">
        <is>
          <t>Medium</t>
        </is>
      </c>
      <c r="F17" s="16" t="inlineStr">
        <is>
          <t>OPEN session. User with POS.SALE.CREATE.</t>
        </is>
      </c>
      <c r="G17" s="16" t="inlineStr">
        <is>
          <t>1. Inspect the checkout UI — confirm no tender-type selector exists (only 'Tendered Amount').
2. Inspect PosSaleRequest — confirm no tender field.
3. Process a sale and inspect the created invoice's payment tender type.</t>
        </is>
      </c>
      <c r="H17" s="16" t="inlineStr">
        <is>
          <t>Any valid POS sale.</t>
        </is>
      </c>
      <c r="I17" s="16" t="inlineStr">
        <is>
          <t>Exactly one payment of TenderType.CASH for the full gross is recorded (processSale hardcodes CASH). MOBILE_MONEY is unreachable via POS. Documented as DEFECT-POS-TENDER — not a test failure, a known gap.</t>
        </is>
      </c>
      <c r="J17" s="16" t="inlineStr">
        <is>
          <t>POST /api/v1/pos/sales</t>
        </is>
      </c>
      <c r="K17" s="16" t="inlineStr">
        <is>
          <t>POS.SALE.CREATE</t>
        </is>
      </c>
      <c r="L17" s="16" t="inlineStr"/>
      <c r="M17" s="17" t="inlineStr">
        <is>
          <t>Not Run</t>
        </is>
      </c>
      <c r="N17" s="17" t="inlineStr"/>
      <c r="O17" s="16" t="inlineStr"/>
      <c r="P17" s="16" t="inlineStr"/>
      <c r="Q17" s="16" t="inlineStr"/>
    </row>
    <row r="18">
      <c r="A18" s="18" t="inlineStr">
        <is>
          <t>POS-016</t>
        </is>
      </c>
      <c r="B18" s="19" t="inlineStr">
        <is>
          <t>POS Checkout</t>
        </is>
      </c>
      <c r="C18" s="19" t="inlineStr">
        <is>
          <t>POS sale with no agent rejected by backend despite UI marking agent optional (Defect AGENT)</t>
        </is>
      </c>
      <c r="D18" s="8" t="inlineStr">
        <is>
          <t>Negative</t>
        </is>
      </c>
      <c r="E18" s="8" t="inlineStr">
        <is>
          <t>Medium</t>
        </is>
      </c>
      <c r="F18" s="19" t="inlineStr">
        <is>
          <t>OPEN session. Valid customer and GOODS line.</t>
        </is>
      </c>
      <c r="G18" s="19" t="inlineStr">
        <is>
          <t>1. Build a valid sale but leave Agent empty (UI labels it 'optional').
2. Submit 'Complete Sale'.</t>
        </is>
      </c>
      <c r="H18" s="19" t="inlineStr">
        <is>
          <t>Valid POS sale configuration with agent field empty.</t>
        </is>
      </c>
      <c r="I18" s="19" t="inlineStr">
        <is>
          <t>UI passes client validation; POST fires with agentId=undefined. Backend rejects with HTTP 400 because PosSaleRequest.agentId is @NotNull. Error surfaces as 'Could not process sale.' Documented as DEFECT-POS-AGENT — mismatch between UI (optional) and backend (required).</t>
        </is>
      </c>
      <c r="J18" s="19" t="inlineStr">
        <is>
          <t>POST /api/v1/pos/sales</t>
        </is>
      </c>
      <c r="K18" s="19" t="inlineStr">
        <is>
          <t>POS.SALE.CREATE</t>
        </is>
      </c>
      <c r="L18" s="19" t="inlineStr"/>
      <c r="M18" s="8" t="inlineStr">
        <is>
          <t>Not Run</t>
        </is>
      </c>
      <c r="N18" s="8" t="inlineStr"/>
      <c r="O18" s="19" t="inlineStr"/>
      <c r="P18" s="19" t="inlineStr"/>
      <c r="Q18" s="19" t="inlineStr"/>
    </row>
    <row r="19">
      <c r="A19" s="15" t="inlineStr">
        <is>
          <t>POS-017</t>
        </is>
      </c>
      <c r="B19" s="16" t="inlineStr">
        <is>
          <t>POS Checkout</t>
        </is>
      </c>
      <c r="C19" s="16" t="inlineStr">
        <is>
          <t>Multi-line sale with discount; remove a line; totals recompute</t>
        </is>
      </c>
      <c r="D19" s="17" t="inlineStr">
        <is>
          <t>Positive</t>
        </is>
      </c>
      <c r="E19" s="17" t="inlineStr">
        <is>
          <t>Medium</t>
        </is>
      </c>
      <c r="F19" s="16" t="inlineStr">
        <is>
          <t>OPEN session. Two sellable products. User with POS.SALE.CREATE.</t>
        </is>
      </c>
      <c r="G19" s="16" t="inlineStr">
        <is>
          <t>1. Add line A: qty=3 × 1000, discount=200 → subtotal=2800.
2. Add line B: qty=1 × 500, discount=0 → subtotal=500.
3. Assert footer Total 'TZS 3,300.00'; tendered=4000 → change 'TZS 700.00'.
4. Remove line B → Total recomputes to 2800.</t>
        </is>
      </c>
      <c r="H19" s="16" t="inlineStr">
        <is>
          <t>Product A qty=3 × 1000 discount=200. Product B qty=1 × 500.</t>
        </is>
      </c>
      <c r="I19" s="16" t="inlineStr">
        <is>
          <t>Client subtotal = Σ(qty×price - discount). Total updates on line removal. Server-side invoice math governs the authoritative gross. Table has accessible caption and scoped headers (axe clean).</t>
        </is>
      </c>
      <c r="J19" s="16" t="inlineStr">
        <is>
          <t>/admin/pos/sell</t>
        </is>
      </c>
      <c r="K19" s="16" t="inlineStr">
        <is>
          <t>POS.SALE.CREATE</t>
        </is>
      </c>
      <c r="L19" s="16" t="inlineStr"/>
      <c r="M19" s="17" t="inlineStr">
        <is>
          <t>Not Run</t>
        </is>
      </c>
      <c r="N19" s="17" t="inlineStr"/>
      <c r="O19" s="16" t="inlineStr"/>
      <c r="P19" s="16" t="inlineStr"/>
      <c r="Q19" s="16" t="inlineStr"/>
    </row>
    <row r="20">
      <c r="A20" s="18" t="inlineStr">
        <is>
          <t>POS-018</t>
        </is>
      </c>
      <c r="B20" s="19" t="inlineStr">
        <is>
          <t>POS Cashier vs Manager</t>
        </is>
      </c>
      <c r="C20" s="19" t="inlineStr">
        <is>
          <t>Cashier vs Manager capability split: Close and Reconcile restricted to Manager</t>
        </is>
      </c>
      <c r="D20" s="8" t="inlineStr">
        <is>
          <t>Permission</t>
        </is>
      </c>
      <c r="E20" s="8" t="inlineStr">
        <is>
          <t>High</t>
        </is>
      </c>
      <c r="F20" s="19" t="inlineStr">
        <is>
          <t>Two custom roles: Cashier (POS.SESSION.OPEN + POS.SALE.CREATE + POS.SESSION.VIEW); Manager (all POS.* codes including CLOSE and RECONCILE).</t>
        </is>
      </c>
      <c r="G20" s="19" t="inlineStr">
        <is>
          <t>1. As Cashier: open session, ring a sale, view X-read. Confirm 'Close Session' and 'Reconcile' buttons are HIDDEN. Confirm /admin/pos/tills redirects (no POS.TILL.VIEW).
2. As Manager: create/deactivate tills, close and reconcile sessions.
3. As Cashier, force POST .../close.</t>
        </is>
      </c>
      <c r="H20" s="19" t="inlineStr">
        <is>
          <t>Cashier and Manager custom role configurations.</t>
        </is>
      </c>
      <c r="I20" s="19" t="inlineStr">
        <is>
          <t>Cashier cannot close or reconcile sessions (buttons hidden; forced API call returns 403). Manager can perform all operations. UI controls and API both enforce the permission boundary independently.</t>
        </is>
      </c>
      <c r="J20" s="19" t="inlineStr">
        <is>
          <t>/admin/pos/tills | /admin/pos/sessions/uid/:uid | POST .../close | POST .../reconcile</t>
        </is>
      </c>
      <c r="K20" s="19" t="inlineStr">
        <is>
          <t>POS.SESSION.CLOSE | POS.SESSION.RECONCILE | POS.TILL.MANAGE</t>
        </is>
      </c>
      <c r="L20" s="19" t="inlineStr"/>
      <c r="M20" s="8" t="inlineStr">
        <is>
          <t>Not Run</t>
        </is>
      </c>
      <c r="N20" s="8" t="inlineStr"/>
      <c r="O20" s="19" t="inlineStr"/>
      <c r="P20" s="19" t="inlineStr"/>
      <c r="Q20" s="19" t="inlineStr"/>
    </row>
    <row r="21">
      <c r="A21" s="15" t="inlineStr">
        <is>
          <t>POS-019</t>
        </is>
      </c>
      <c r="B21" s="16" t="inlineStr">
        <is>
          <t>POS End-to-End</t>
        </is>
      </c>
      <c r="C21" s="16" t="inlineStr">
        <is>
          <t>Full POS day: open → sell → payout → X-read → close (over) → reconcile → Z-read + GL journal</t>
        </is>
      </c>
      <c r="D21" s="17" t="inlineStr">
        <is>
          <t>Positive</t>
        </is>
      </c>
      <c r="E21" s="17" t="inlineStr">
        <is>
          <t>High</t>
        </is>
      </c>
      <c r="F21" s="16" t="inlineStr">
        <is>
          <t>Active till. GOODS product (price=1500). Walk-in customer. ACTIVE agent. GL configs CASH/POS_CASH_OVER seeded. User: rootadmin or custom role with all POS.* codes.</t>
        </is>
      </c>
      <c r="G21" s="16" t="inlineStr">
        <is>
          <t>1. /admin/pos/sessions → Open Session on the till, float=50000.
2. /admin/pos/sell → ring sale: 2 × 1500=3000, tendered=3000, change=0; Complete Sale.
3. Session detail → Record Payout PAID_OUT amount=1000, reason='petty cash'. Expected cash now 50000+3000-1000=52000.
4. X-read: assert Sales Total=3000, Payouts=1000, Expected Cash=52000, Invoice Count=1.
5. Close Session with Counted Cash=52100 → Variance=+100.00 (OVER).
6. Reconcile → Z-Read: Variance=+100.00, Journal ID shown; Status=RECONCILED.
7. Verify GL journal: DR CASH 100 / CR 4900 100, source=POS_VARIANCE.</t>
        </is>
      </c>
      <c r="H21" s="16" t="inlineStr">
        <is>
          <t>Opening float=50000. Sale 2 × 1500. Payout=1000. Counted cash=52100.</t>
        </is>
      </c>
      <c r="I21" s="16" t="inlineStr">
        <is>
          <t>Each step advances state correctly. Expected cash formula verified. Variance journal posted and balanced. Final status=RECONCILED. Attempting close or reconcile again returns 409.</t>
        </is>
      </c>
      <c r="J21" s="16" t="inlineStr">
        <is>
          <t>/admin/pos/sessions | /admin/pos/sell | /admin/pos/sessions/uid/:uid</t>
        </is>
      </c>
      <c r="K21" s="16" t="inlineStr">
        <is>
          <t>POS.SESSION.OPEN | POS.SALE.CREATE | POS.SESSION.CLOSE | POS.SESSION.RECONCILE</t>
        </is>
      </c>
      <c r="L21" s="16" t="inlineStr"/>
      <c r="M21" s="17" t="inlineStr">
        <is>
          <t>Not Run</t>
        </is>
      </c>
      <c r="N21" s="17" t="inlineStr"/>
      <c r="O21" s="16" t="inlineStr"/>
      <c r="P21" s="16" t="inlineStr"/>
      <c r="Q21" s="16" t="inlineStr"/>
    </row>
    <row r="22">
      <c r="A22" s="18" t="inlineStr">
        <is>
          <t>POS-020</t>
        </is>
      </c>
      <c r="B22" s="19" t="inlineStr">
        <is>
          <t>POS Sessions</t>
        </is>
      </c>
      <c r="C22" s="19" t="inlineStr">
        <is>
          <t>Session detail: four sub-states; Z-Read card visible only for RECONCILED</t>
        </is>
      </c>
      <c r="D22" s="8" t="inlineStr">
        <is>
          <t>Positive</t>
        </is>
      </c>
      <c r="E22" s="8" t="inlineStr">
        <is>
          <t>Medium</t>
        </is>
      </c>
      <c r="F22" s="19" t="inlineStr">
        <is>
          <t>Sessions in OPEN, CLOSED, RECONCILED states. Logged in with POS.SESSION.VIEW.</t>
        </is>
      </c>
      <c r="G22" s="19" t="inlineStr">
        <is>
          <t>1. Open a RECONCILED session detail — verify Z-Read card present with all fields.
2. Open a CLOSED session detail — verify Z-Read card absent.
3. Stub GET 500 — error card renders.
4. Stub GET 403 — forbidden card renders.</t>
        </is>
      </c>
      <c r="H22" s="19" t="inlineStr">
        <is>
          <t>RECONCILED and CLOSED session uids.</t>
        </is>
      </c>
      <c r="I22" s="19" t="inlineStr">
        <is>
          <t>Z-Read card present only on RECONCILED sessions. Error and forbidden states render distinctly. No uid exposed in human-readable fields.</t>
        </is>
      </c>
      <c r="J22" s="19" t="inlineStr">
        <is>
          <t>/admin/pos/sessions/uid/:uid | GET /api/v1/pos/sessions/uid/{uid}</t>
        </is>
      </c>
      <c r="K22" s="19" t="inlineStr">
        <is>
          <t>POS.SESSION.VIEW</t>
        </is>
      </c>
      <c r="L22" s="19" t="inlineStr"/>
      <c r="M22" s="8" t="inlineStr">
        <is>
          <t>Not Run</t>
        </is>
      </c>
      <c r="N22" s="8" t="inlineStr"/>
      <c r="O22" s="19" t="inlineStr"/>
      <c r="P22" s="19" t="inlineStr"/>
      <c r="Q22" s="19" t="inlineStr"/>
    </row>
    <row r="23">
      <c r="A23" s="15" t="inlineStr">
        <is>
          <t>POS-021</t>
        </is>
      </c>
      <c r="B23" s="16" t="inlineStr">
        <is>
          <t>POS Checkout</t>
        </is>
      </c>
      <c r="C23" s="16" t="inlineStr">
        <is>
          <t>Sell page axe-core clean in empty and populated states</t>
        </is>
      </c>
      <c r="D23" s="17" t="inlineStr">
        <is>
          <t>Positive</t>
        </is>
      </c>
      <c r="E23" s="17" t="inlineStr">
        <is>
          <t>High</t>
        </is>
      </c>
      <c r="F23" s="16" t="inlineStr">
        <is>
          <t>OPEN session. Walk-in customer. Goods product. Logged in with POS.SALE.CREATE.</t>
        </is>
      </c>
      <c r="G23" s="16" t="inlineStr">
        <is>
          <t>1. Navigate to /admin/pos/sell.
2. Empty form state: run axe-core.
3. Fill all fields and add a line; run axe-core again.</t>
        </is>
      </c>
      <c r="H23" s="16" t="inlineStr">
        <is>
          <t>Empty form then fully populated form.</t>
        </is>
      </c>
      <c r="I23" s="16" t="inlineStr">
        <is>
          <t>Zero critical/serious axe violations in both states. Line-item table has accessible caption and scoped th[scope=col]. All inputs have associated labels. Error messages linked via aria-describedby.</t>
        </is>
      </c>
      <c r="J23" s="16" t="inlineStr">
        <is>
          <t>/admin/pos/sell</t>
        </is>
      </c>
      <c r="K23" s="16" t="inlineStr">
        <is>
          <t>POS.SALE.CREATE</t>
        </is>
      </c>
      <c r="L23" s="16" t="inlineStr"/>
      <c r="M23" s="17" t="inlineStr">
        <is>
          <t>Not Run</t>
        </is>
      </c>
      <c r="N23" s="17" t="inlineStr"/>
      <c r="O23" s="16" t="inlineStr"/>
      <c r="P23" s="16" t="inlineStr"/>
      <c r="Q23" s="16" t="inlineStr"/>
    </row>
    <row r="24">
      <c r="A24" s="18" t="inlineStr">
        <is>
          <t>POS-022</t>
        </is>
      </c>
      <c r="B24" s="19" t="inlineStr">
        <is>
          <t>POS Sessions</t>
        </is>
      </c>
      <c r="C24" s="19" t="inlineStr">
        <is>
          <t>Session list and detail: axe-core clean</t>
        </is>
      </c>
      <c r="D24" s="8" t="inlineStr">
        <is>
          <t>Positive</t>
        </is>
      </c>
      <c r="E24" s="8" t="inlineStr">
        <is>
          <t>High</t>
        </is>
      </c>
      <c r="F24" s="19" t="inlineStr">
        <is>
          <t>5+ sessions in mixed statuses. Logged in with POS.SESSION.VIEW.</t>
        </is>
      </c>
      <c r="G24" s="19" t="inlineStr">
        <is>
          <t>1. Navigate to /admin/pos/sessions; run axe-core.
2. Navigate to a session detail; run axe-core.</t>
        </is>
      </c>
      <c r="H24" s="19" t="inlineStr">
        <is>
          <t>Mixed-status sessions.</t>
        </is>
      </c>
      <c r="I24" s="19" t="inlineStr">
        <is>
          <t>Zero critical/serious violations. Status badges use text (not colour only). Table has caption and scoped column headers. Paginator keyboard-accessible.</t>
        </is>
      </c>
      <c r="J24" s="19" t="inlineStr">
        <is>
          <t>/admin/pos/sessions | /admin/pos/sessions/uid/:uid</t>
        </is>
      </c>
      <c r="K24" s="19" t="inlineStr">
        <is>
          <t>POS.SESSION.VIEW</t>
        </is>
      </c>
      <c r="L24" s="19" t="inlineStr"/>
      <c r="M24" s="8" t="inlineStr">
        <is>
          <t>Not Run</t>
        </is>
      </c>
      <c r="N24" s="8" t="inlineStr"/>
      <c r="O24" s="19" t="inlineStr"/>
      <c r="P24" s="19" t="inlineStr"/>
      <c r="Q24" s="19" t="inlineStr"/>
    </row>
    <row r="25">
      <c r="A25" s="15" t="inlineStr">
        <is>
          <t>POS-023</t>
        </is>
      </c>
      <c r="B25" s="16" t="inlineStr">
        <is>
          <t>POS Tills</t>
        </is>
      </c>
      <c r="C25" s="16" t="inlineStr">
        <is>
          <t>Tills page: axe-core clean; branchId C1 violation flagged</t>
        </is>
      </c>
      <c r="D25" s="17" t="inlineStr">
        <is>
          <t>Positive</t>
        </is>
      </c>
      <c r="E25" s="17" t="inlineStr">
        <is>
          <t>High</t>
        </is>
      </c>
      <c r="F25" s="16" t="inlineStr">
        <is>
          <t>Company with 3+ tills. Logged in with POS.TILL.VIEW.</t>
        </is>
      </c>
      <c r="G25" s="16" t="inlineStr">
        <is>
          <t>1. Navigate to /admin/pos/tills.
2. Run axe-core.
3. Inspect Branch column — record whether raw numeric branchId is shown instead of code/name.</t>
        </is>
      </c>
      <c r="H25" s="16" t="inlineStr">
        <is>
          <t>3+ tills with known branch names.</t>
        </is>
      </c>
      <c r="I25" s="16" t="inlineStr">
        <is>
          <t>Zero axe critical/serious violations. Branch column shows raw numeric branchId (known CONVENTION-POS-UID C1 violation — log defect, do not block gate). Table has caption and scoped headers.</t>
        </is>
      </c>
      <c r="J25" s="16" t="inlineStr">
        <is>
          <t>/admin/pos/tills</t>
        </is>
      </c>
      <c r="K25" s="16" t="inlineStr">
        <is>
          <t>POS.TILL.VIEW</t>
        </is>
      </c>
      <c r="L25" s="16" t="inlineStr"/>
      <c r="M25" s="17" t="inlineStr">
        <is>
          <t>Not Run</t>
        </is>
      </c>
      <c r="N25" s="17" t="inlineStr"/>
      <c r="O25" s="16" t="inlineStr"/>
      <c r="P25" s="16" t="inlineStr"/>
      <c r="Q25" s="16" t="inlineStr"/>
    </row>
  </sheetData>
  <autoFilter ref="A2:Q25"/>
  <mergeCells count="1">
    <mergeCell ref="A1:Q1"/>
  </mergeCells>
  <dataValidations count="4">
    <dataValidation sqref="D3:D25" showDropDown="0" showInputMessage="0" showErrorMessage="0" allowBlank="1" type="list">
      <formula1>"Positive,Negative,Permission,Edge"</formula1>
    </dataValidation>
    <dataValidation sqref="E3:E25" showDropDown="0" showInputMessage="0" showErrorMessage="0" allowBlank="1" type="list">
      <formula1>"High,Medium,Low"</formula1>
    </dataValidation>
    <dataValidation sqref="M3:M25" showDropDown="0" showInputMessage="0" showErrorMessage="0" allowBlank="1" type="list">
      <formula1>"Not Run,Pass,Fail,Blocked,N/A"</formula1>
    </dataValidation>
    <dataValidation sqref="N3:N25" showDropDown="0" showInputMessage="0" showErrorMessage="0" allowBlank="1" type="list">
      <formula1>"-,Critical,High,Medium,Low"</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43"/>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Procurement (P2P)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P2P-001</t>
        </is>
      </c>
      <c r="B3" s="16" t="inlineStr">
        <is>
          <t>Purchase Requisition</t>
        </is>
      </c>
      <c r="C3" s="16" t="inlineStr">
        <is>
          <t>Requisition list loads with pagination and four states</t>
        </is>
      </c>
      <c r="D3" s="17" t="inlineStr">
        <is>
          <t>Positive</t>
        </is>
      </c>
      <c r="E3" s="17" t="inlineStr">
        <is>
          <t>High</t>
        </is>
      </c>
      <c r="F3" s="16" t="inlineStr">
        <is>
          <t>User has PURCHASE.REQUISITION.VIEW. At least 26 requisitions exist for the active company so page 2 is available.</t>
        </is>
      </c>
      <c r="G3" s="16" t="inlineStr">
        <is>
          <t>1. Login as PURCHASE_OFFICER.
2. Navigate to /admin/purchase-requisitions.
3. Confirm loading state appears then resolves to table.
4. Verify paginator shows FIRST, PREVIOUS, page numbers, NEXT, LAST.
5. Click NEXT; confirm page 2 loads.
6. Apply status filter = DRAFT; confirm rows narrow.</t>
        </is>
      </c>
      <c r="H3" s="16" t="inlineStr">
        <is>
          <t>Company: Acme Trading Ltd. 26+ seeded requisitions.</t>
        </is>
      </c>
      <c r="I3" s="16" t="inlineStr">
        <is>
          <t>Table lists requisitions with requisition number, status badge, required-by date. Meta includes page/size/totalElements/totalPages/hasNext. HTTP 200.</t>
        </is>
      </c>
      <c r="J3" s="16" t="inlineStr">
        <is>
          <t>/admin/purchase-requisitions</t>
        </is>
      </c>
      <c r="K3" s="16" t="inlineStr">
        <is>
          <t>PURCHASE.REQUISITION.VIEW</t>
        </is>
      </c>
      <c r="L3" s="16" t="inlineStr"/>
      <c r="M3" s="17" t="inlineStr">
        <is>
          <t>Not Run</t>
        </is>
      </c>
      <c r="N3" s="17" t="inlineStr"/>
      <c r="O3" s="16" t="inlineStr"/>
      <c r="P3" s="16" t="inlineStr"/>
      <c r="Q3" s="16" t="inlineStr"/>
    </row>
    <row r="4">
      <c r="A4" s="18" t="inlineStr">
        <is>
          <t>P2P-002</t>
        </is>
      </c>
      <c r="B4" s="19" t="inlineStr">
        <is>
          <t>Purchase Requisition</t>
        </is>
      </c>
      <c r="C4" s="19" t="inlineStr">
        <is>
          <t>Create requisition with GOODS line lands in DRAFT status</t>
        </is>
      </c>
      <c r="D4" s="8" t="inlineStr">
        <is>
          <t>Positive</t>
        </is>
      </c>
      <c r="E4" s="8" t="inlineStr">
        <is>
          <t>High</t>
        </is>
      </c>
      <c r="F4" s="19" t="inlineStr">
        <is>
          <t>User has PURCHASE.REQUISITION.CREATE. At least one active GOODS product and unit of measure exist.</t>
        </is>
      </c>
      <c r="G4" s="19" t="inlineStr">
        <is>
          <t>1. Navigate to /admin/purchase-requisitions/create.
2. Set required-by date and optional notes.
3. Add a line: choose product by name via picker; choose unit BAG; enter requestedQty=10, estimatedUnitCost=5000.
4. Submit.</t>
        </is>
      </c>
      <c r="H4" s="19" t="inlineStr">
        <is>
          <t>Product: Cement 50kg. Unit: BAG. requestedQty: 10. estimatedUnitCost: 5000.</t>
        </is>
      </c>
      <c r="I4" s="19" t="inlineStr">
        <is>
          <t>HTTP 201. Requisition status = DRAFT. Redirect to detail. uid appears only in the URL, not in any visible label.</t>
        </is>
      </c>
      <c r="J4" s="19" t="inlineStr">
        <is>
          <t>/admin/purchase-requisitions/create | POST /api/v1/purchase-requisitions</t>
        </is>
      </c>
      <c r="K4" s="19" t="inlineStr">
        <is>
          <t>PURCHASE.REQUISITION.CREATE</t>
        </is>
      </c>
      <c r="L4" s="19" t="inlineStr"/>
      <c r="M4" s="8" t="inlineStr">
        <is>
          <t>Not Run</t>
        </is>
      </c>
      <c r="N4" s="8" t="inlineStr"/>
      <c r="O4" s="19" t="inlineStr"/>
      <c r="P4" s="19" t="inlineStr"/>
      <c r="Q4" s="19" t="inlineStr"/>
    </row>
    <row r="5">
      <c r="A5" s="15" t="inlineStr">
        <is>
          <t>P2P-003</t>
        </is>
      </c>
      <c r="B5" s="16" t="inlineStr">
        <is>
          <t>Purchase Requisition</t>
        </is>
      </c>
      <c r="C5" s="16" t="inlineStr">
        <is>
          <t>Submit requisition transitions DRAFT to SUBMITTED</t>
        </is>
      </c>
      <c r="D5" s="17" t="inlineStr">
        <is>
          <t>Positive</t>
        </is>
      </c>
      <c r="E5" s="17" t="inlineStr">
        <is>
          <t>High</t>
        </is>
      </c>
      <c r="F5" s="16" t="inlineStr">
        <is>
          <t>User has PURCHASE.REQUISITION.CREATE. A DRAFT requisition exists.</t>
        </is>
      </c>
      <c r="G5" s="16" t="inlineStr">
        <is>
          <t>1. Open the DRAFT requisition detail.
2. Click Submit.
3. Observe status badge updates.</t>
        </is>
      </c>
      <c r="H5" s="16" t="inlineStr">
        <is>
          <t>A DRAFT requisition created in P2P-002.</t>
        </is>
      </c>
      <c r="I5" s="16" t="inlineStr">
        <is>
          <t>Status changes to SUBMITTED. submittedAt is set and displayed. Submit button is hidden afterwards.</t>
        </is>
      </c>
      <c r="J5" s="16" t="inlineStr">
        <is>
          <t>/admin/purchase-requisitions/uid/:uid | POST /api/v1/purchase-requisitions/uid/{uid}/submit</t>
        </is>
      </c>
      <c r="K5" s="16" t="inlineStr">
        <is>
          <t>PURCHASE.REQUISITION.CREATE</t>
        </is>
      </c>
      <c r="L5" s="16" t="inlineStr"/>
      <c r="M5" s="17" t="inlineStr">
        <is>
          <t>Not Run</t>
        </is>
      </c>
      <c r="N5" s="17" t="inlineStr"/>
      <c r="O5" s="16" t="inlineStr"/>
      <c r="P5" s="16" t="inlineStr"/>
      <c r="Q5" s="16" t="inlineStr"/>
    </row>
    <row r="6">
      <c r="A6" s="18" t="inlineStr">
        <is>
          <t>P2P-004</t>
        </is>
      </c>
      <c r="B6" s="19" t="inlineStr">
        <is>
          <t>Purchase Requisition</t>
        </is>
      </c>
      <c r="C6" s="19" t="inlineStr">
        <is>
          <t>Approve a SUBMITTED requisition transitions to APPROVED</t>
        </is>
      </c>
      <c r="D6" s="8" t="inlineStr">
        <is>
          <t>Positive</t>
        </is>
      </c>
      <c r="E6" s="8" t="inlineStr">
        <is>
          <t>High</t>
        </is>
      </c>
      <c r="F6" s="19" t="inlineStr">
        <is>
          <t>User has PURCHASE.REQUISITION.APPROVE. A SUBMITTED requisition exists.</t>
        </is>
      </c>
      <c r="G6" s="19" t="inlineStr">
        <is>
          <t>1. Open the SUBMITTED requisition detail.
2. Click Approve.
3. Observe status badge.</t>
        </is>
      </c>
      <c r="H6" s="19" t="inlineStr">
        <is>
          <t>A SUBMITTED requisition from P2P-003.</t>
        </is>
      </c>
      <c r="I6" s="19" t="inlineStr">
        <is>
          <t>Status changes to APPROVED. approvedAt is set. Convert action is now offered.</t>
        </is>
      </c>
      <c r="J6" s="19" t="inlineStr">
        <is>
          <t>/admin/purchase-requisitions/uid/:uid | POST /api/v1/purchase-requisitions/uid/{uid}/approve</t>
        </is>
      </c>
      <c r="K6" s="19" t="inlineStr">
        <is>
          <t>PURCHASE.REQUISITION.APPROVE</t>
        </is>
      </c>
      <c r="L6" s="19" t="inlineStr"/>
      <c r="M6" s="8" t="inlineStr">
        <is>
          <t>Not Run</t>
        </is>
      </c>
      <c r="N6" s="8" t="inlineStr"/>
      <c r="O6" s="19" t="inlineStr"/>
      <c r="P6" s="19" t="inlineStr"/>
      <c r="Q6" s="19" t="inlineStr"/>
    </row>
    <row r="7">
      <c r="A7" s="15" t="inlineStr">
        <is>
          <t>P2P-005</t>
        </is>
      </c>
      <c r="B7" s="16" t="inlineStr">
        <is>
          <t>Purchase Requisition</t>
        </is>
      </c>
      <c r="C7" s="16" t="inlineStr">
        <is>
          <t>Reject a SUBMITTED requisition with required reason</t>
        </is>
      </c>
      <c r="D7" s="17" t="inlineStr">
        <is>
          <t>Positive</t>
        </is>
      </c>
      <c r="E7" s="17" t="inlineStr">
        <is>
          <t>High</t>
        </is>
      </c>
      <c r="F7" s="16" t="inlineStr">
        <is>
          <t>User has PURCHASE.REQUISITION.APPROVE. A SUBMITTED requisition exists.</t>
        </is>
      </c>
      <c r="G7" s="16" t="inlineStr">
        <is>
          <t>1. Open the SUBMITTED requisition detail.
2. Click Reject.
3. Enter reason: Budget exceeded for Q2.
4. Confirm.</t>
        </is>
      </c>
      <c r="H7" s="16" t="inlineStr">
        <is>
          <t>reason: Budget exceeded for Q2.</t>
        </is>
      </c>
      <c r="I7" s="16" t="inlineStr">
        <is>
          <t>Status changes to REJECTED. rejectedAt is set. Reason captured. Empty reason is blocked by the UI (Rejection reason is required).</t>
        </is>
      </c>
      <c r="J7" s="16" t="inlineStr">
        <is>
          <t>/admin/purchase-requisitions/uid/:uid | POST /api/v1/purchase-requisitions/uid/{uid}/reject</t>
        </is>
      </c>
      <c r="K7" s="16" t="inlineStr">
        <is>
          <t>PURCHASE.REQUISITION.APPROVE</t>
        </is>
      </c>
      <c r="L7" s="16" t="inlineStr"/>
      <c r="M7" s="17" t="inlineStr">
        <is>
          <t>Not Run</t>
        </is>
      </c>
      <c r="N7" s="17" t="inlineStr"/>
      <c r="O7" s="16" t="inlineStr"/>
      <c r="P7" s="16" t="inlineStr"/>
      <c r="Q7" s="16" t="inlineStr"/>
    </row>
    <row r="8">
      <c r="A8" s="18" t="inlineStr">
        <is>
          <t>P2P-006</t>
        </is>
      </c>
      <c r="B8" s="19" t="inlineStr">
        <is>
          <t>Purchase Requisition</t>
        </is>
      </c>
      <c r="C8" s="19" t="inlineStr">
        <is>
          <t>Convert APPROVED requisition to Purchase Order</t>
        </is>
      </c>
      <c r="D8" s="8" t="inlineStr">
        <is>
          <t>Positive</t>
        </is>
      </c>
      <c r="E8" s="8" t="inlineStr">
        <is>
          <t>High</t>
        </is>
      </c>
      <c r="F8" s="19" t="inlineStr">
        <is>
          <t>User has PURCHASE.REQUISITION.APPROVE. An APPROVED requisition with GOODS lines exists.</t>
        </is>
      </c>
      <c r="G8" s="19" t="inlineStr">
        <is>
          <t>1. Open the APPROVED requisition detail.
2. Open Convert form; select target = Purchase Order.
3. Confirm.</t>
        </is>
      </c>
      <c r="H8" s="19" t="inlineStr">
        <is>
          <t>targetType: PURCHASE_ORDER.</t>
        </is>
      </c>
      <c r="I8" s="19" t="inlineStr">
        <is>
          <t>Returns created PO uid. Requisition status changes to CONVERTED with convertedToType=PURCHASE_ORDER. A View created PURCHASE_ORDER link routes to /admin/purchase-orders/uid/{uid}. uid is only in the link URL.</t>
        </is>
      </c>
      <c r="J8" s="19" t="inlineStr">
        <is>
          <t>/admin/purchase-requisitions/uid/:uid | POST /api/v1/purchase-requisitions/uid/{uid}/convert?targetType=PURCHASE_ORDER</t>
        </is>
      </c>
      <c r="K8" s="19" t="inlineStr">
        <is>
          <t>PURCHASE.REQUISITION.APPROVE</t>
        </is>
      </c>
      <c r="L8" s="19" t="inlineStr"/>
      <c r="M8" s="8" t="inlineStr">
        <is>
          <t>Not Run</t>
        </is>
      </c>
      <c r="N8" s="8" t="inlineStr"/>
      <c r="O8" s="19" t="inlineStr"/>
      <c r="P8" s="19" t="inlineStr"/>
      <c r="Q8" s="19" t="inlineStr"/>
    </row>
    <row r="9">
      <c r="A9" s="15" t="inlineStr">
        <is>
          <t>P2P-007</t>
        </is>
      </c>
      <c r="B9" s="16" t="inlineStr">
        <is>
          <t>Purchase Requisition</t>
        </is>
      </c>
      <c r="C9" s="16" t="inlineStr">
        <is>
          <t>Convert APPROVED requisition to RFQ</t>
        </is>
      </c>
      <c r="D9" s="17" t="inlineStr">
        <is>
          <t>Positive</t>
        </is>
      </c>
      <c r="E9" s="17" t="inlineStr">
        <is>
          <t>High</t>
        </is>
      </c>
      <c r="F9" s="16" t="inlineStr">
        <is>
          <t>User has PURCHASE.REQUISITION.APPROVE. An APPROVED requisition exists.</t>
        </is>
      </c>
      <c r="G9" s="16" t="inlineStr">
        <is>
          <t>1. Open the APPROVED requisition detail.
2. Open Convert form; select target = RFQ.
3. Confirm.</t>
        </is>
      </c>
      <c r="H9" s="16" t="inlineStr">
        <is>
          <t>targetType: RFQ.</t>
        </is>
      </c>
      <c r="I9" s="16" t="inlineStr">
        <is>
          <t>Created RFQ uid returned. Requisition status = CONVERTED, convertedToType = RFQ. Follow link routes to /admin/rfqs/uid/{uid}.</t>
        </is>
      </c>
      <c r="J9" s="16" t="inlineStr">
        <is>
          <t>/admin/purchase-requisitions/uid/:uid | POST /api/v1/purchase-requisitions/uid/{uid}/convert?targetType=RFQ</t>
        </is>
      </c>
      <c r="K9" s="16" t="inlineStr">
        <is>
          <t>PURCHASE.REQUISITION.APPROVE</t>
        </is>
      </c>
      <c r="L9" s="16" t="inlineStr"/>
      <c r="M9" s="17" t="inlineStr">
        <is>
          <t>Not Run</t>
        </is>
      </c>
      <c r="N9" s="17" t="inlineStr"/>
      <c r="O9" s="16" t="inlineStr"/>
      <c r="P9" s="16" t="inlineStr"/>
      <c r="Q9" s="16" t="inlineStr"/>
    </row>
    <row r="10">
      <c r="A10" s="18" t="inlineStr">
        <is>
          <t>P2P-008</t>
        </is>
      </c>
      <c r="B10" s="19" t="inlineStr">
        <is>
          <t>Purchase Requisition</t>
        </is>
      </c>
      <c r="C10" s="19" t="inlineStr">
        <is>
          <t>Cancel a non-final requisition</t>
        </is>
      </c>
      <c r="D10" s="8" t="inlineStr">
        <is>
          <t>Positive</t>
        </is>
      </c>
      <c r="E10" s="8" t="inlineStr">
        <is>
          <t>Medium</t>
        </is>
      </c>
      <c r="F10" s="19" t="inlineStr">
        <is>
          <t>User has PURCHASE.REQUISITION.CREATE. A DRAFT or SUBMITTED requisition exists.</t>
        </is>
      </c>
      <c r="G10" s="19" t="inlineStr">
        <is>
          <t>1. Open requisition detail.
2. Click Cancel.
3. Optionally enter a reason; confirm.</t>
        </is>
      </c>
      <c r="H10" s="19" t="inlineStr">
        <is>
          <t>A DRAFT requisition.</t>
        </is>
      </c>
      <c r="I10" s="19" t="inlineStr">
        <is>
          <t>Status changes to CANCELLED. cancelledAt is set.</t>
        </is>
      </c>
      <c r="J10" s="19" t="inlineStr">
        <is>
          <t>/admin/purchase-requisitions/uid/:uid | POST /api/v1/purchase-requisitions/uid/{uid}/cancel</t>
        </is>
      </c>
      <c r="K10" s="19" t="inlineStr">
        <is>
          <t>PURCHASE.REQUISITION.CREATE</t>
        </is>
      </c>
      <c r="L10" s="19" t="inlineStr"/>
      <c r="M10" s="8" t="inlineStr">
        <is>
          <t>Not Run</t>
        </is>
      </c>
      <c r="N10" s="8" t="inlineStr"/>
      <c r="O10" s="19" t="inlineStr"/>
      <c r="P10" s="19" t="inlineStr"/>
      <c r="Q10" s="19" t="inlineStr"/>
    </row>
    <row r="11">
      <c r="A11" s="15" t="inlineStr">
        <is>
          <t>P2P-009</t>
        </is>
      </c>
      <c r="B11" s="16" t="inlineStr">
        <is>
          <t>Purchase Requisition</t>
        </is>
      </c>
      <c r="C11" s="16" t="inlineStr">
        <is>
          <t>Illegal requisition transitions are rejected</t>
        </is>
      </c>
      <c r="D11" s="17" t="inlineStr">
        <is>
          <t>Negative</t>
        </is>
      </c>
      <c r="E11" s="17" t="inlineStr">
        <is>
          <t>High</t>
        </is>
      </c>
      <c r="F11" s="16" t="inlineStr">
        <is>
          <t>User has PURCHASE.REQUISITION.APPROVE. Requisitions in CONVERTED and CANCELLED states exist.</t>
        </is>
      </c>
      <c r="G11" s="16" t="inlineStr">
        <is>
          <t>1. Attempt to submit an already-SUBMITTED requisition.
2. Attempt to approve a DRAFT (not submitted) requisition.
3. Attempt to cancel a CONVERTED requisition.
4. Attempt to convert a DRAFT requisition.</t>
        </is>
      </c>
      <c r="H11" s="16" t="inlineStr">
        <is>
          <t>One requisition in each relevant state.</t>
        </is>
      </c>
      <c r="I11" s="16" t="inlineStr">
        <is>
          <t>Each attempt is rejected with an error. Status does not change. Appropriate action buttons are hidden in the UI for terminal/invalid states.</t>
        </is>
      </c>
      <c r="J11" s="16" t="inlineStr">
        <is>
          <t>/admin/purchase-requisitions/uid/:uid</t>
        </is>
      </c>
      <c r="K11" s="16" t="inlineStr">
        <is>
          <t>PURCHASE.REQUISITION.APPROVE</t>
        </is>
      </c>
      <c r="L11" s="16" t="inlineStr"/>
      <c r="M11" s="17" t="inlineStr">
        <is>
          <t>Not Run</t>
        </is>
      </c>
      <c r="N11" s="17" t="inlineStr"/>
      <c r="O11" s="16" t="inlineStr"/>
      <c r="P11" s="16" t="inlineStr"/>
      <c r="Q11" s="16" t="inlineStr"/>
    </row>
    <row r="12">
      <c r="A12" s="18" t="inlineStr">
        <is>
          <t>P2P-010</t>
        </is>
      </c>
      <c r="B12" s="19" t="inlineStr">
        <is>
          <t>Purchase Requisition</t>
        </is>
      </c>
      <c r="C12" s="19" t="inlineStr">
        <is>
          <t>PURCHASE.REQUISITION.CREATE user cannot approve</t>
        </is>
      </c>
      <c r="D12" s="8" t="inlineStr">
        <is>
          <t>Permission</t>
        </is>
      </c>
      <c r="E12" s="8" t="inlineStr">
        <is>
          <t>High</t>
        </is>
      </c>
      <c r="F12" s="19" t="inlineStr">
        <is>
          <t>A user with PURCHASE.REQUISITION.CREATE but NOT PURCHASE.REQUISITION.APPROVE. A SUBMITTED requisition exists.</t>
        </is>
      </c>
      <c r="G12" s="19" t="inlineStr">
        <is>
          <t>1. Login as the restricted user.
2. Open the SUBMITTED requisition detail.
3. Observe the Approve button.</t>
        </is>
      </c>
      <c r="H12" s="19" t="inlineStr">
        <is>
          <t>SUBMITTED requisition.</t>
        </is>
      </c>
      <c r="I12" s="19" t="inlineStr">
        <is>
          <t>Approve button is hidden. Direct POST to /api/v1/purchase-requisitions/uid/{uid}/approve returns HTTP 403.</t>
        </is>
      </c>
      <c r="J12" s="19" t="inlineStr">
        <is>
          <t>/admin/purchase-requisitions/uid/:uid</t>
        </is>
      </c>
      <c r="K12" s="19" t="inlineStr">
        <is>
          <t>PURCHASE.REQUISITION.CREATE (lacking APPROVE)</t>
        </is>
      </c>
      <c r="L12" s="19" t="inlineStr"/>
      <c r="M12" s="8" t="inlineStr">
        <is>
          <t>Not Run</t>
        </is>
      </c>
      <c r="N12" s="8" t="inlineStr"/>
      <c r="O12" s="19" t="inlineStr"/>
      <c r="P12" s="19" t="inlineStr"/>
      <c r="Q12" s="19" t="inlineStr"/>
    </row>
    <row r="13">
      <c r="A13" s="15" t="inlineStr">
        <is>
          <t>P2P-011</t>
        </is>
      </c>
      <c r="B13" s="16" t="inlineStr">
        <is>
          <t>Purchase Requisition</t>
        </is>
      </c>
      <c r="C13" s="16" t="inlineStr">
        <is>
          <t>Cross-tenant requisition access returns forbidden state</t>
        </is>
      </c>
      <c r="D13" s="17" t="inlineStr">
        <is>
          <t>Permission</t>
        </is>
      </c>
      <c r="E13" s="17" t="inlineStr">
        <is>
          <t>High</t>
        </is>
      </c>
      <c r="F13" s="16" t="inlineStr">
        <is>
          <t>A requisition belonging to Company A. User belongs only to Company B.</t>
        </is>
      </c>
      <c r="G13" s="16" t="inlineStr">
        <is>
          <t>1. Login as Company B user.
2. Navigate directly to the Company A requisition uid URL.</t>
        </is>
      </c>
      <c r="H13" s="16" t="inlineStr">
        <is>
          <t>Requisition uid from Company A.</t>
        </is>
      </c>
      <c r="I13" s="16" t="inlineStr">
        <is>
          <t>API returns 403. The detail component shows the forbidden state (visually distinct from the loading, empty, and error states).</t>
        </is>
      </c>
      <c r="J13" s="16" t="inlineStr">
        <is>
          <t>/admin/purchase-requisitions/uid/:uid</t>
        </is>
      </c>
      <c r="K13" s="16" t="inlineStr">
        <is>
          <t>PURCHASE.REQUISITION.VIEW (scoped)</t>
        </is>
      </c>
      <c r="L13" s="16" t="inlineStr"/>
      <c r="M13" s="17" t="inlineStr">
        <is>
          <t>Not Run</t>
        </is>
      </c>
      <c r="N13" s="17" t="inlineStr"/>
      <c r="O13" s="16" t="inlineStr"/>
      <c r="P13" s="16" t="inlineStr"/>
      <c r="Q13" s="16" t="inlineStr"/>
    </row>
    <row r="14">
      <c r="A14" s="18" t="inlineStr">
        <is>
          <t>P2P-020</t>
        </is>
      </c>
      <c r="B14" s="19" t="inlineStr">
        <is>
          <t>RFQ / Sourcing</t>
        </is>
      </c>
      <c r="C14" s="19" t="inlineStr">
        <is>
          <t>Create RFQ with supplier invites and GOODS lines (rootadmin only — RBAC defect)</t>
        </is>
      </c>
      <c r="D14" s="8" t="inlineStr">
        <is>
          <t>Positive</t>
        </is>
      </c>
      <c r="E14" s="8" t="inlineStr">
        <is>
          <t>High</t>
        </is>
      </c>
      <c r="F14" s="19" t="inlineStr">
        <is>
          <t>Run as rootadmin. PURCHASE.RFQ.CREATE is NOT seeded so only rootadmin can reach this endpoint. At least 2 active suppliers and 1 GOODS product exist.</t>
        </is>
      </c>
      <c r="G14" s="19" t="inlineStr">
        <is>
          <t>1. Navigate to /admin/rfqs/create.
2. Set response-due date and notes.
3. Invite suppliers: choose each by name via picker (at least 2).
4. Add line: product by name, unit, quantity=100.
5. Submit.</t>
        </is>
      </c>
      <c r="H14" s="19" t="inlineStr">
        <is>
          <t>Suppliers: MegaSupply Co, BuildMart. Product: Cement 50kg. qty: 100.</t>
        </is>
      </c>
      <c r="I14" s="19" t="inlineStr">
        <is>
          <t>HTTP 201. RFQ status = DRAFT. Invited supplier names visible in the detail. Redirect to detail. uid only in URL.</t>
        </is>
      </c>
      <c r="J14" s="19" t="inlineStr">
        <is>
          <t>/admin/rfqs/create | POST /api/v1/rfqs</t>
        </is>
      </c>
      <c r="K14" s="19" t="inlineStr">
        <is>
          <t>PURCHASE.RFQ.CREATE (NOT seeded — rootadmin only)</t>
        </is>
      </c>
      <c r="L14" s="19" t="inlineStr"/>
      <c r="M14" s="8" t="inlineStr">
        <is>
          <t>Not Run</t>
        </is>
      </c>
      <c r="N14" s="8" t="inlineStr"/>
      <c r="O14" s="19" t="inlineStr"/>
      <c r="P14" s="19" t="inlineStr"/>
      <c r="Q14" s="19" t="inlineStr"/>
    </row>
    <row r="15">
      <c r="A15" s="15" t="inlineStr">
        <is>
          <t>P2P-021</t>
        </is>
      </c>
      <c r="B15" s="16" t="inlineStr">
        <is>
          <t>RFQ / Sourcing</t>
        </is>
      </c>
      <c r="C15" s="16" t="inlineStr">
        <is>
          <t>Send RFQ transitions DRAFT to SENT</t>
        </is>
      </c>
      <c r="D15" s="17" t="inlineStr">
        <is>
          <t>Positive</t>
        </is>
      </c>
      <c r="E15" s="17" t="inlineStr">
        <is>
          <t>High</t>
        </is>
      </c>
      <c r="F15" s="16" t="inlineStr">
        <is>
          <t>Run as rootadmin. A DRAFT RFQ with invited suppliers exists.</t>
        </is>
      </c>
      <c r="G15" s="16" t="inlineStr">
        <is>
          <t>1. Open the DRAFT RFQ detail.
2. Click Send.</t>
        </is>
      </c>
      <c r="H15" s="16" t="inlineStr">
        <is>
          <t>DRAFT RFQ from P2P-020.</t>
        </is>
      </c>
      <c r="I15" s="16" t="inlineStr">
        <is>
          <t>Status badge changes to SENT. Success toast: Suppliers have been notified.</t>
        </is>
      </c>
      <c r="J15" s="16" t="inlineStr">
        <is>
          <t>/admin/rfqs/uid/:uid | POST /api/v1/rfqs/uid/{uid}/send</t>
        </is>
      </c>
      <c r="K15" s="16" t="inlineStr">
        <is>
          <t>PURCHASE.RFQ.CREATE (NOT seeded — rootadmin only)</t>
        </is>
      </c>
      <c r="L15" s="16" t="inlineStr"/>
      <c r="M15" s="17" t="inlineStr">
        <is>
          <t>Not Run</t>
        </is>
      </c>
      <c r="N15" s="17" t="inlineStr"/>
      <c r="O15" s="16" t="inlineStr"/>
      <c r="P15" s="16" t="inlineStr"/>
      <c r="Q15" s="16" t="inlineStr"/>
    </row>
    <row r="16">
      <c r="A16" s="18" t="inlineStr">
        <is>
          <t>P2P-022</t>
        </is>
      </c>
      <c r="B16" s="19" t="inlineStr">
        <is>
          <t>RFQ / Sourcing</t>
        </is>
      </c>
      <c r="C16" s="19" t="inlineStr">
        <is>
          <t>Capture two supplier quotes against a SENT RFQ</t>
        </is>
      </c>
      <c r="D16" s="8" t="inlineStr">
        <is>
          <t>Positive</t>
        </is>
      </c>
      <c r="E16" s="8" t="inlineStr">
        <is>
          <t>High</t>
        </is>
      </c>
      <c r="F16" s="19" t="inlineStr">
        <is>
          <t>Run as rootadmin. A SENT RFQ with at least 2 invited suppliers exists.</t>
        </is>
      </c>
      <c r="G16" s="19" t="inlineStr">
        <is>
          <t>1. Open the SENT RFQ detail; click Capture Quote.
2. Pick first supplier by name; enter quotedQty and unitPrice=4800; submit.
3. Repeat for second supplier with unitPrice=4950.</t>
        </is>
      </c>
      <c r="H16" s="19" t="inlineStr">
        <is>
          <t>Supplier A unit price: 4800. Supplier B unit price: 4950.</t>
        </is>
      </c>
      <c r="I16" s="19" t="inlineStr">
        <is>
          <t>Each quote created with status RECEIVED. RFQ status becomes QUOTES_RECEIVED. Quotes listed in the RFQ quotes panel by supplier name.</t>
        </is>
      </c>
      <c r="J16" s="19" t="inlineStr">
        <is>
          <t>/admin/rfqs/uid/:uid | POST /api/v1/supplier-quotes</t>
        </is>
      </c>
      <c r="K16" s="19" t="inlineStr">
        <is>
          <t>PURCHASE.QUOTE.CREATE (NOT seeded — rootadmin only)</t>
        </is>
      </c>
      <c r="L16" s="19" t="inlineStr"/>
      <c r="M16" s="8" t="inlineStr">
        <is>
          <t>Not Run</t>
        </is>
      </c>
      <c r="N16" s="8" t="inlineStr"/>
      <c r="O16" s="19" t="inlineStr"/>
      <c r="P16" s="19" t="inlineStr"/>
      <c r="Q16" s="19" t="inlineStr"/>
    </row>
    <row r="17">
      <c r="A17" s="15" t="inlineStr">
        <is>
          <t>P2P-023</t>
        </is>
      </c>
      <c r="B17" s="16" t="inlineStr">
        <is>
          <t>RFQ / Sourcing</t>
        </is>
      </c>
      <c r="C17" s="16" t="inlineStr">
        <is>
          <t>Award RFQ to the winning quote — creates PO, marks other quotes NOT_AWARDED</t>
        </is>
      </c>
      <c r="D17" s="17" t="inlineStr">
        <is>
          <t>Positive</t>
        </is>
      </c>
      <c r="E17" s="17" t="inlineStr">
        <is>
          <t>High</t>
        </is>
      </c>
      <c r="F17" s="16" t="inlineStr">
        <is>
          <t>Run as rootadmin. An RFQ with at least 2 RECEIVED quotes exists.</t>
        </is>
      </c>
      <c r="G17" s="16" t="inlineStr">
        <is>
          <t>1. In the quotes panel, click Award on the cheaper quote (supplier A at 4800).
2. Confirm the action.</t>
        </is>
      </c>
      <c r="H17" s="16" t="inlineStr">
        <is>
          <t>Winning quote: supplier A at unit price 4800.</t>
        </is>
      </c>
      <c r="I17" s="16" t="inlineStr">
        <is>
          <t>RFQ status changes to AWARDED. awardedPoUid returned and surfaced as a follow-link to /admin/purchase-orders/uid/{uid}. Winning quote status = AWARDED. Losing quote status = NOT_AWARDED. PO created in DRAFT.</t>
        </is>
      </c>
      <c r="J17" s="16" t="inlineStr">
        <is>
          <t>/admin/rfqs/uid/:uid | POST /api/v1/rfqs/uid/{uid}/award?quoteUid=</t>
        </is>
      </c>
      <c r="K17" s="16" t="inlineStr">
        <is>
          <t>PURCHASE.RFQ.AWARD (NOT seeded — rootadmin only)</t>
        </is>
      </c>
      <c r="L17" s="16" t="inlineStr"/>
      <c r="M17" s="17" t="inlineStr">
        <is>
          <t>Not Run</t>
        </is>
      </c>
      <c r="N17" s="17" t="inlineStr"/>
      <c r="O17" s="16" t="inlineStr"/>
      <c r="P17" s="16" t="inlineStr"/>
      <c r="Q17" s="16" t="inlineStr"/>
    </row>
    <row r="18">
      <c r="A18" s="18" t="inlineStr">
        <is>
          <t>P2P-024</t>
        </is>
      </c>
      <c r="B18" s="19" t="inlineStr">
        <is>
          <t>RFQ / Sourcing</t>
        </is>
      </c>
      <c r="C18" s="19" t="inlineStr">
        <is>
          <t>RFQ create/send/award denied to a fully-granted custom role (RBAC seed defect)</t>
        </is>
      </c>
      <c r="D18" s="8" t="inlineStr">
        <is>
          <t>Permission</t>
        </is>
      </c>
      <c r="E18" s="8" t="inlineStr">
        <is>
          <t>High</t>
        </is>
      </c>
      <c r="F18" s="19" t="inlineStr">
        <is>
          <t>A custom role granted every available (seeded) permission. A SENT RFQ exists.</t>
        </is>
      </c>
      <c r="G18" s="19" t="inlineStr">
        <is>
          <t>1. Login as the custom-role user.
2. Attempt to navigate to /admin/rfqs/create.
3. On the SENT RFQ, attempt to capture a quote and award.</t>
        </is>
      </c>
      <c r="H18" s="19" t="inlineStr">
        <is>
          <t>Custom role with all seeded permissions.</t>
        </is>
      </c>
      <c r="I18" s="19" t="inlineStr">
        <is>
          <t>Create route guard blocks (PURCHASE.RFQ.CREATE not grantable). Award and capture-quote buttons are hidden. Any direct API call returns 403. Only rootadmin succeeds.</t>
        </is>
      </c>
      <c r="J18" s="19" t="inlineStr">
        <is>
          <t>/admin/rfqs | POST /api/v1/rfqs</t>
        </is>
      </c>
      <c r="K18" s="19" t="inlineStr">
        <is>
          <t>PURCHASE.RFQ.CREATE / PURCHASE.RFQ.AWARD (NOT seeded)</t>
        </is>
      </c>
      <c r="L18" s="19" t="inlineStr"/>
      <c r="M18" s="8" t="inlineStr">
        <is>
          <t>Not Run</t>
        </is>
      </c>
      <c r="N18" s="8" t="inlineStr"/>
      <c r="O18" s="19" t="inlineStr"/>
      <c r="P18" s="19" t="inlineStr"/>
      <c r="Q18" s="19" t="inlineStr"/>
    </row>
    <row r="19">
      <c r="A19" s="15" t="inlineStr">
        <is>
          <t>P2P-030</t>
        </is>
      </c>
      <c r="B19" s="16" t="inlineStr">
        <is>
          <t>Purchase Order</t>
        </is>
      </c>
      <c r="C19" s="16" t="inlineStr">
        <is>
          <t>PO list loads with search, pagination, and four states</t>
        </is>
      </c>
      <c r="D19" s="17" t="inlineStr">
        <is>
          <t>Positive</t>
        </is>
      </c>
      <c r="E19" s="17" t="inlineStr">
        <is>
          <t>High</t>
        </is>
      </c>
      <c r="F19" s="16" t="inlineStr">
        <is>
          <t>User has PURCHASE.ORDER.VIEW. At least 26 POs exist.</t>
        </is>
      </c>
      <c r="G19" s="16" t="inlineStr">
        <is>
          <t>1. Navigate to /admin/purchase-orders.
2. Enter a search term in the q field.
3. Page through with paginator controls.</t>
        </is>
      </c>
      <c r="H19" s="16" t="inlineStr">
        <is>
          <t>26+ POs for the active company.</t>
        </is>
      </c>
      <c r="I19" s="16" t="inlineStr">
        <is>
          <t>List shows order number, status badge, supplier name, order total. q filters results. Paginator shows all five controls. Money formatted as CUR 1,234.56.</t>
        </is>
      </c>
      <c r="J19" s="16" t="inlineStr">
        <is>
          <t>/admin/purchase-orders | GET /api/v1/purchase-orders</t>
        </is>
      </c>
      <c r="K19" s="16" t="inlineStr">
        <is>
          <t>PURCHASE.ORDER.VIEW</t>
        </is>
      </c>
      <c r="L19" s="16" t="inlineStr"/>
      <c r="M19" s="17" t="inlineStr">
        <is>
          <t>Not Run</t>
        </is>
      </c>
      <c r="N19" s="17" t="inlineStr"/>
      <c r="O19" s="16" t="inlineStr"/>
      <c r="P19" s="16" t="inlineStr"/>
      <c r="Q19" s="16" t="inlineStr"/>
    </row>
    <row r="20">
      <c r="A20" s="18" t="inlineStr">
        <is>
          <t>P2P-031</t>
        </is>
      </c>
      <c r="B20" s="19" t="inlineStr">
        <is>
          <t>Purchase Order</t>
        </is>
      </c>
      <c r="C20" s="19" t="inlineStr">
        <is>
          <t>Add, edit, and remove a line on a DRAFT PO</t>
        </is>
      </c>
      <c r="D20" s="8" t="inlineStr">
        <is>
          <t>Positive</t>
        </is>
      </c>
      <c r="E20" s="8" t="inlineStr">
        <is>
          <t>High</t>
        </is>
      </c>
      <c r="F20" s="19" t="inlineStr">
        <is>
          <t>User has PURCHASE.ORDER.CREATE and PURCHASE.ORDER.VIEW. A DRAFT PO exists.</t>
        </is>
      </c>
      <c r="G20" s="19" t="inlineStr">
        <is>
          <t>1. Open the DRAFT PO detail.
2. Add a line: search product by name via picker; choose unit; orderedQty=20; unitCost=4800.
3. Edit the line qty to 25.
4. Remove the line.</t>
        </is>
      </c>
      <c r="H20" s="19" t="inlineStr">
        <is>
          <t>Product: Cement 50kg. Unit: BAG. qty: 20, then 25. unitCost: 4800.</t>
        </is>
      </c>
      <c r="I20" s="19" t="inlineStr">
        <is>
          <t>Line added (201), edited (200), removed (204). PO orderTotalAmount recomputed server-side after each change. Product and unit chosen by name only.</t>
        </is>
      </c>
      <c r="J20" s="19" t="inlineStr">
        <is>
          <t>/admin/purchase-orders/uid/:uid | POST/PUT/DELETE /api/v1/purchase-orders/uid/{uid}/lines</t>
        </is>
      </c>
      <c r="K20" s="19" t="inlineStr">
        <is>
          <t>PURCHASE.ORDER.CREATE</t>
        </is>
      </c>
      <c r="L20" s="19" t="inlineStr"/>
      <c r="M20" s="8" t="inlineStr">
        <is>
          <t>Not Run</t>
        </is>
      </c>
      <c r="N20" s="8" t="inlineStr"/>
      <c r="O20" s="19" t="inlineStr"/>
      <c r="P20" s="19" t="inlineStr"/>
      <c r="Q20" s="19" t="inlineStr"/>
    </row>
    <row r="21">
      <c r="A21" s="15" t="inlineStr">
        <is>
          <t>P2P-032</t>
        </is>
      </c>
      <c r="B21" s="16" t="inlineStr">
        <is>
          <t>Purchase Order</t>
        </is>
      </c>
      <c r="C21" s="16" t="inlineStr">
        <is>
          <t>Place a PO transitions DRAFT to ORDERED</t>
        </is>
      </c>
      <c r="D21" s="17" t="inlineStr">
        <is>
          <t>Positive</t>
        </is>
      </c>
      <c r="E21" s="17" t="inlineStr">
        <is>
          <t>High</t>
        </is>
      </c>
      <c r="F21" s="16" t="inlineStr">
        <is>
          <t>User has PURCHASE.ORDER.CREATE. A DRAFT PO with at least one line exists.</t>
        </is>
      </c>
      <c r="G21" s="16" t="inlineStr">
        <is>
          <t>1. Open the DRAFT PO detail.
2. Click Place.</t>
        </is>
      </c>
      <c r="H21" s="16" t="inlineStr">
        <is>
          <t>DRAFT PO with one line.</t>
        </is>
      </c>
      <c r="I21" s="16" t="inlineStr">
        <is>
          <t>Status changes to ORDERED. Human-readable orderNumber (PO-####) is assigned and displayed. orderedAt is set. Receive, Close, and Void actions become available.</t>
        </is>
      </c>
      <c r="J21" s="16" t="inlineStr">
        <is>
          <t>/admin/purchase-orders/uid/:uid | POST /api/v1/purchase-orders/uid/{uid}/place</t>
        </is>
      </c>
      <c r="K21" s="16" t="inlineStr">
        <is>
          <t>PURCHASE.ORDER.CREATE</t>
        </is>
      </c>
      <c r="L21" s="16" t="inlineStr"/>
      <c r="M21" s="17" t="inlineStr">
        <is>
          <t>Not Run</t>
        </is>
      </c>
      <c r="N21" s="17" t="inlineStr"/>
      <c r="O21" s="16" t="inlineStr"/>
      <c r="P21" s="16" t="inlineStr"/>
      <c r="Q21" s="16" t="inlineStr"/>
    </row>
    <row r="22">
      <c r="A22" s="18" t="inlineStr">
        <is>
          <t>P2P-033</t>
        </is>
      </c>
      <c r="B22" s="19" t="inlineStr">
        <is>
          <t>Purchase Order</t>
        </is>
      </c>
      <c r="C22" s="19" t="inlineStr">
        <is>
          <t>Void a PO with required reason</t>
        </is>
      </c>
      <c r="D22" s="8" t="inlineStr">
        <is>
          <t>Positive</t>
        </is>
      </c>
      <c r="E22" s="8" t="inlineStr">
        <is>
          <t>High</t>
        </is>
      </c>
      <c r="F22" s="19" t="inlineStr">
        <is>
          <t>User has PURCHASE.ORDER.VOID. A DRAFT and an ORDERED PO exist.</t>
        </is>
      </c>
      <c r="G22" s="19" t="inlineStr">
        <is>
          <t>1. Open the ORDERED PO detail.
2. Click Void.
3. Enter reason: Supplier discontinued item.
4. Confirm.</t>
        </is>
      </c>
      <c r="H22" s="19" t="inlineStr">
        <is>
          <t>reason: Supplier discontinued item.</t>
        </is>
      </c>
      <c r="I22" s="19" t="inlineStr">
        <is>
          <t>Status changes to VOID. voidedAt and voidReason are set. Empty reason is blocked by the UI (A void reason is required).</t>
        </is>
      </c>
      <c r="J22" s="19" t="inlineStr">
        <is>
          <t>/admin/purchase-orders/uid/:uid | POST /api/v1/purchase-orders/uid/{uid}/void</t>
        </is>
      </c>
      <c r="K22" s="19" t="inlineStr">
        <is>
          <t>PURCHASE.ORDER.VOID</t>
        </is>
      </c>
      <c r="L22" s="19" t="inlineStr"/>
      <c r="M22" s="8" t="inlineStr">
        <is>
          <t>Not Run</t>
        </is>
      </c>
      <c r="N22" s="8" t="inlineStr"/>
      <c r="O22" s="19" t="inlineStr"/>
      <c r="P22" s="19" t="inlineStr"/>
      <c r="Q22" s="19" t="inlineStr"/>
    </row>
    <row r="23">
      <c r="A23" s="15" t="inlineStr">
        <is>
          <t>P2P-034</t>
        </is>
      </c>
      <c r="B23" s="16" t="inlineStr">
        <is>
          <t>Purchase Order</t>
        </is>
      </c>
      <c r="C23" s="16" t="inlineStr">
        <is>
          <t>Close a PO from ORDERED, PARTIALLY_RECEIVED, and RECEIVED states</t>
        </is>
      </c>
      <c r="D23" s="17" t="inlineStr">
        <is>
          <t>Positive</t>
        </is>
      </c>
      <c r="E23" s="17" t="inlineStr">
        <is>
          <t>Medium</t>
        </is>
      </c>
      <c r="F23" s="16" t="inlineStr">
        <is>
          <t>User has PURCHASE.ORDER.CREATE. One PO in ORDERED state and one in RECEIVED state exist.</t>
        </is>
      </c>
      <c r="G23" s="16" t="inlineStr">
        <is>
          <t>1. Open the ORDERED PO; click Close.
2. Repeat for the RECEIVED PO.</t>
        </is>
      </c>
      <c r="H23" s="16" t="inlineStr">
        <is>
          <t>One ORDERED PO, one RECEIVED PO.</t>
        </is>
      </c>
      <c r="I23" s="16" t="inlineStr">
        <is>
          <t>Status changes to CLOSED in both cases. closedAt is set. PO becomes read-only.</t>
        </is>
      </c>
      <c r="J23" s="16" t="inlineStr">
        <is>
          <t>/admin/purchase-orders/uid/:uid | POST /api/v1/purchase-orders/uid/{uid}/close</t>
        </is>
      </c>
      <c r="K23" s="16" t="inlineStr">
        <is>
          <t>PURCHASE.ORDER.CREATE</t>
        </is>
      </c>
      <c r="L23" s="16" t="inlineStr"/>
      <c r="M23" s="17" t="inlineStr">
        <is>
          <t>Not Run</t>
        </is>
      </c>
      <c r="N23" s="17" t="inlineStr"/>
      <c r="O23" s="16" t="inlineStr"/>
      <c r="P23" s="16" t="inlineStr"/>
      <c r="Q23" s="16" t="inlineStr"/>
    </row>
    <row r="24">
      <c r="A24" s="18" t="inlineStr">
        <is>
          <t>P2P-035</t>
        </is>
      </c>
      <c r="B24" s="19" t="inlineStr">
        <is>
          <t>Purchase Order</t>
        </is>
      </c>
      <c r="C24" s="19" t="inlineStr">
        <is>
          <t>Void blocked for CLOSED PO; line edits blocked for non-DRAFT PO</t>
        </is>
      </c>
      <c r="D24" s="8" t="inlineStr">
        <is>
          <t>Negative</t>
        </is>
      </c>
      <c r="E24" s="8" t="inlineStr">
        <is>
          <t>High</t>
        </is>
      </c>
      <c r="F24" s="19" t="inlineStr">
        <is>
          <t>User has PURCHASE.ORDER.VOID and PURCHASE.ORDER.CREATE. A CLOSED PO and an ORDERED PO exist.</t>
        </is>
      </c>
      <c r="G24" s="19" t="inlineStr">
        <is>
          <t>1. Attempt to void the CLOSED PO.
2. Attempt to add a line to the ORDERED PO.</t>
        </is>
      </c>
      <c r="H24" s="19" t="inlineStr">
        <is>
          <t>CLOSED PO, ORDERED PO.</t>
        </is>
      </c>
      <c r="I24" s="19" t="inlineStr">
        <is>
          <t>Void on CLOSED PO is rejected (only DRAFT/ORDERED/PARTIALLY_RECEIVED voidable). Line add on ORDERED PO is rejected (DRAFT-only). Both return error messages without changing the status.</t>
        </is>
      </c>
      <c r="J24" s="19" t="inlineStr">
        <is>
          <t>/admin/purchase-orders/uid/:uid</t>
        </is>
      </c>
      <c r="K24" s="19" t="inlineStr">
        <is>
          <t>PURCHASE.ORDER.VOID / PURCHASE.ORDER.CREATE</t>
        </is>
      </c>
      <c r="L24" s="19" t="inlineStr"/>
      <c r="M24" s="8" t="inlineStr">
        <is>
          <t>Not Run</t>
        </is>
      </c>
      <c r="N24" s="8" t="inlineStr"/>
      <c r="O24" s="19" t="inlineStr"/>
      <c r="P24" s="19" t="inlineStr"/>
      <c r="Q24" s="19" t="inlineStr"/>
    </row>
    <row r="25">
      <c r="A25" s="15" t="inlineStr">
        <is>
          <t>P2P-036</t>
        </is>
      </c>
      <c r="B25" s="16" t="inlineStr">
        <is>
          <t>Purchase Order</t>
        </is>
      </c>
      <c r="C25" s="16" t="inlineStr">
        <is>
          <t>PURCHASE_OFFICER without VOID cannot void a PO</t>
        </is>
      </c>
      <c r="D25" s="17" t="inlineStr">
        <is>
          <t>Permission</t>
        </is>
      </c>
      <c r="E25" s="17" t="inlineStr">
        <is>
          <t>High</t>
        </is>
      </c>
      <c r="F25" s="16" t="inlineStr">
        <is>
          <t>A user with PURCHASE.ORDER.CREATE but not PURCHASE.ORDER.VOID. An ORDERED PO exists.</t>
        </is>
      </c>
      <c r="G25" s="16" t="inlineStr">
        <is>
          <t>1. Login as the restricted user.
2. Open the ORDERED PO detail.
3. Observe the Void button.</t>
        </is>
      </c>
      <c r="H25" s="16" t="inlineStr">
        <is>
          <t>ORDERED PO.</t>
        </is>
      </c>
      <c r="I25" s="16" t="inlineStr">
        <is>
          <t>Void button is hidden. Direct POST to void endpoint returns HTTP 403.</t>
        </is>
      </c>
      <c r="J25" s="16" t="inlineStr">
        <is>
          <t>/admin/purchase-orders/uid/:uid</t>
        </is>
      </c>
      <c r="K25" s="16" t="inlineStr">
        <is>
          <t>PURCHASE.ORDER.CREATE (lacking VOID)</t>
        </is>
      </c>
      <c r="L25" s="16" t="inlineStr"/>
      <c r="M25" s="17" t="inlineStr">
        <is>
          <t>Not Run</t>
        </is>
      </c>
      <c r="N25" s="17" t="inlineStr"/>
      <c r="O25" s="16" t="inlineStr"/>
      <c r="P25" s="16" t="inlineStr"/>
      <c r="Q25" s="16" t="inlineStr"/>
    </row>
    <row r="26">
      <c r="A26" s="18" t="inlineStr">
        <is>
          <t>P2P-040</t>
        </is>
      </c>
      <c r="B26" s="19" t="inlineStr">
        <is>
          <t>Goods Receipt</t>
        </is>
      </c>
      <c r="C26" s="19" t="inlineStr">
        <is>
          <t>Partial goods receipt then receive-remaining — PO transitions ORDERED &gt; PARTIALLY_RECEIVED &gt; RECEIVED</t>
        </is>
      </c>
      <c r="D26" s="8" t="inlineStr">
        <is>
          <t>Positive</t>
        </is>
      </c>
      <c r="E26" s="8" t="inlineStr">
        <is>
          <t>High</t>
        </is>
      </c>
      <c r="F26" s="19" t="inlineStr">
        <is>
          <t>User has PURCHASE.RECEIVE. An ORDERED PO with GOODS lines (outstanding qty=20) exists.</t>
        </is>
      </c>
      <c r="G26" s="19" t="inlineStr">
        <is>
          <t>1. Navigate to /admin/goods-receipts/create.
2. Choose the PO by order number via picker.
3. Receive partial qty=12; submit.
4. Create a second GR for the remaining qty=8; submit.</t>
        </is>
      </c>
      <c r="H26" s="19" t="inlineStr">
        <is>
          <t>PO outstanding qty: 20. First receipt: 12. Second receipt: 8.</t>
        </is>
      </c>
      <c r="I26" s="19" t="inlineStr">
        <is>
          <t>First GR is RECEIVED (GRN-#### assigned). PO status = PARTIALLY_RECEIVED. Second GR is RECEIVED. PO status = RECEIVED. Stock increased by 20 units total.</t>
        </is>
      </c>
      <c r="J26" s="19" t="inlineStr">
        <is>
          <t>/admin/goods-receipts/create | POST /api/v1/goods-receipts</t>
        </is>
      </c>
      <c r="K26" s="19" t="inlineStr">
        <is>
          <t>PURCHASE.RECEIVE</t>
        </is>
      </c>
      <c r="L26" s="19" t="inlineStr"/>
      <c r="M26" s="8" t="inlineStr">
        <is>
          <t>Not Run</t>
        </is>
      </c>
      <c r="N26" s="8" t="inlineStr"/>
      <c r="O26" s="19" t="inlineStr"/>
      <c r="P26" s="19" t="inlineStr"/>
      <c r="Q26" s="19" t="inlineStr"/>
    </row>
    <row r="27">
      <c r="A27" s="15" t="inlineStr">
        <is>
          <t>P2P-041</t>
        </is>
      </c>
      <c r="B27" s="16" t="inlineStr">
        <is>
          <t>Goods Receipt</t>
        </is>
      </c>
      <c r="C27" s="16" t="inlineStr">
        <is>
          <t>Over-receipt is rejected</t>
        </is>
      </c>
      <c r="D27" s="17" t="inlineStr">
        <is>
          <t>Negative</t>
        </is>
      </c>
      <c r="E27" s="17" t="inlineStr">
        <is>
          <t>High</t>
        </is>
      </c>
      <c r="F27" s="16" t="inlineStr">
        <is>
          <t>User has PURCHASE.RECEIVE. An ORDERED PO with 20 outstanding units exists.</t>
        </is>
      </c>
      <c r="G27" s="16" t="inlineStr">
        <is>
          <t>1. Navigate to /admin/goods-receipts/create.
2. Choose the PO by order number.
3. Enter receivedQty=25 (exceeds outstanding).
4. Submit.</t>
        </is>
      </c>
      <c r="H27" s="16" t="inlineStr">
        <is>
          <t>Outstanding: 20. Attempted receipt: 25.</t>
        </is>
      </c>
      <c r="I27" s="16" t="inlineStr">
        <is>
          <t>Service rejects with an error (BR-PURCH-10: over-receipt). GR is not created. PO status unchanged.</t>
        </is>
      </c>
      <c r="J27" s="16" t="inlineStr">
        <is>
          <t>/admin/goods-receipts/create | POST /api/v1/goods-receipts</t>
        </is>
      </c>
      <c r="K27" s="16" t="inlineStr">
        <is>
          <t>PURCHASE.RECEIVE</t>
        </is>
      </c>
      <c r="L27" s="16" t="inlineStr"/>
      <c r="M27" s="17" t="inlineStr">
        <is>
          <t>Not Run</t>
        </is>
      </c>
      <c r="N27" s="17" t="inlineStr"/>
      <c r="O27" s="16" t="inlineStr"/>
      <c r="P27" s="16" t="inlineStr"/>
      <c r="Q27" s="16" t="inlineStr"/>
    </row>
    <row r="28">
      <c r="A28" s="18" t="inlineStr">
        <is>
          <t>P2P-042</t>
        </is>
      </c>
      <c r="B28" s="19" t="inlineStr">
        <is>
          <t>Goods Receipt</t>
        </is>
      </c>
      <c r="C28" s="19" t="inlineStr">
        <is>
          <t>GR against a DRAFT or VOID PO is rejected</t>
        </is>
      </c>
      <c r="D28" s="8" t="inlineStr">
        <is>
          <t>Negative</t>
        </is>
      </c>
      <c r="E28" s="8" t="inlineStr">
        <is>
          <t>High</t>
        </is>
      </c>
      <c r="F28" s="19" t="inlineStr">
        <is>
          <t>User has PURCHASE.RECEIVE. A DRAFT PO and a VOID PO exist.</t>
        </is>
      </c>
      <c r="G28" s="19" t="inlineStr">
        <is>
          <t>1. Attempt to create a GR selecting the DRAFT PO.
2. Attempt to create a GR selecting the VOID PO.</t>
        </is>
      </c>
      <c r="H28" s="19" t="inlineStr">
        <is>
          <t>DRAFT PO, VOID PO.</t>
        </is>
      </c>
      <c r="I28" s="19" t="inlineStr">
        <is>
          <t>Both attempts are rejected. GR is not created. Error message is returned without leaking internal details.</t>
        </is>
      </c>
      <c r="J28" s="19" t="inlineStr">
        <is>
          <t>/admin/goods-receipts/create | POST /api/v1/goods-receipts</t>
        </is>
      </c>
      <c r="K28" s="19" t="inlineStr">
        <is>
          <t>PURCHASE.RECEIVE</t>
        </is>
      </c>
      <c r="L28" s="19" t="inlineStr"/>
      <c r="M28" s="8" t="inlineStr">
        <is>
          <t>Not Run</t>
        </is>
      </c>
      <c r="N28" s="8" t="inlineStr"/>
      <c r="O28" s="19" t="inlineStr"/>
      <c r="P28" s="19" t="inlineStr"/>
      <c r="Q28" s="19" t="inlineStr"/>
    </row>
    <row r="29">
      <c r="A29" s="15" t="inlineStr">
        <is>
          <t>P2P-043</t>
        </is>
      </c>
      <c r="B29" s="16" t="inlineStr">
        <is>
          <t>Goods Receipt</t>
        </is>
      </c>
      <c r="C29" s="16" t="inlineStr">
        <is>
          <t>Void a RECEIVED GR reverses stock and restores PO outstanding (API-level)</t>
        </is>
      </c>
      <c r="D29" s="17" t="inlineStr">
        <is>
          <t>Positive</t>
        </is>
      </c>
      <c r="E29" s="17" t="inlineStr">
        <is>
          <t>Medium</t>
        </is>
      </c>
      <c r="F29" s="16" t="inlineStr">
        <is>
          <t>User has PURCHASE.VOID. A RECEIVED GR exists with associated stock movements.</t>
        </is>
      </c>
      <c r="G29" s="16" t="inlineStr">
        <is>
          <t>1. Call POST /api/v1/goods-receipts/uid/{uid}/void with VoidGoodsReceiptRequest body.</t>
        </is>
      </c>
      <c r="H29" s="16" t="inlineStr">
        <is>
          <t>RECEIVED GR with GOODS lines.</t>
        </is>
      </c>
      <c r="I29" s="16" t="inlineStr">
        <is>
          <t>GR status changes to VOID. Emits STOCK.RECEIPT.VOIDED event. PO outstanding qty is restored. Stock movement is reversed (append-only reversal, not deletion).</t>
        </is>
      </c>
      <c r="J29" s="16" t="inlineStr">
        <is>
          <t>POST /api/v1/goods-receipts/uid/{uid}/void</t>
        </is>
      </c>
      <c r="K29" s="16" t="inlineStr">
        <is>
          <t>PURCHASE.VOID</t>
        </is>
      </c>
      <c r="L29" s="16" t="inlineStr"/>
      <c r="M29" s="17" t="inlineStr">
        <is>
          <t>Not Run</t>
        </is>
      </c>
      <c r="N29" s="17" t="inlineStr"/>
      <c r="O29" s="16" t="inlineStr"/>
      <c r="P29" s="16" t="inlineStr"/>
      <c r="Q29" s="16" t="inlineStr"/>
    </row>
    <row r="30">
      <c r="A30" s="18" t="inlineStr">
        <is>
          <t>P2P-050</t>
        </is>
      </c>
      <c r="B30" s="19" t="inlineStr">
        <is>
          <t>Landed Cost</t>
        </is>
      </c>
      <c r="C30" s="19" t="inlineStr">
        <is>
          <t>Create landed cost with basis BY_VALUE over a RECEIVED GR (rootadmin only — RBAC defect)</t>
        </is>
      </c>
      <c r="D30" s="8" t="inlineStr">
        <is>
          <t>Positive</t>
        </is>
      </c>
      <c r="E30" s="8" t="inlineStr">
        <is>
          <t>High</t>
        </is>
      </c>
      <c r="F30" s="19" t="inlineStr">
        <is>
          <t>Run as rootadmin. PURCHASE.LANDED_COST.CREATE is NOT seeded (controller uses underscore; seed uses LANDEDCOST without underscore). At least one RECEIVED GR with GOODS lines exists.</t>
        </is>
      </c>
      <c r="G30" s="19" t="inlineStr">
        <is>
          <t>1. Navigate to /admin/landed-costs/create.
2. Select basis = By Value.
3. Choose GR by GRN number via picker.
4. Add charge FREIGHT=200000.
5. Add charge DUTY=150000.
6. Submit.</t>
        </is>
      </c>
      <c r="H30" s="19" t="inlineStr">
        <is>
          <t>Basis: BY_VALUE. FREIGHT: 200000. DUTY: 150000.</t>
        </is>
      </c>
      <c r="I30" s="19" t="inlineStr">
        <is>
          <t>HTTP 201. LC status = DRAFT. Charges captured. Basis = BY_VALUE.</t>
        </is>
      </c>
      <c r="J30" s="19" t="inlineStr">
        <is>
          <t>/admin/landed-costs/create | POST /api/v1/landed-costs</t>
        </is>
      </c>
      <c r="K30" s="19" t="inlineStr">
        <is>
          <t>PURCHASE.LANDED_COST.CREATE (NOT seeded — rootadmin only)</t>
        </is>
      </c>
      <c r="L30" s="19" t="inlineStr"/>
      <c r="M30" s="8" t="inlineStr">
        <is>
          <t>Not Run</t>
        </is>
      </c>
      <c r="N30" s="8" t="inlineStr"/>
      <c r="O30" s="19" t="inlineStr"/>
      <c r="P30" s="19" t="inlineStr"/>
      <c r="Q30" s="19" t="inlineStr"/>
    </row>
    <row r="31">
      <c r="A31" s="15" t="inlineStr">
        <is>
          <t>P2P-051</t>
        </is>
      </c>
      <c r="B31" s="16" t="inlineStr">
        <is>
          <t>Landed Cost</t>
        </is>
      </c>
      <c r="C31" s="16" t="inlineStr">
        <is>
          <t>Create landed cost with basis BY_QUANTITY and all five charge types</t>
        </is>
      </c>
      <c r="D31" s="17" t="inlineStr">
        <is>
          <t>Positive</t>
        </is>
      </c>
      <c r="E31" s="17" t="inlineStr">
        <is>
          <t>Medium</t>
        </is>
      </c>
      <c r="F31" s="16" t="inlineStr">
        <is>
          <t>Run as rootadmin. A RECEIVED GR exists.</t>
        </is>
      </c>
      <c r="G31" s="16" t="inlineStr">
        <is>
          <t>1. Navigate to /admin/landed-costs/create.
2. Select basis = By Quantity.
3. Choose GR by GRN number.
4. Add one charge of each type: FREIGHT, DUTY, CLEARING, INSURANCE, OTHER.
5. Submit.</t>
        </is>
      </c>
      <c r="H31" s="16" t="inlineStr">
        <is>
          <t>Basis: BY_QUANTITY. One charge per LandedCostChargeType.</t>
        </is>
      </c>
      <c r="I31" s="16" t="inlineStr">
        <is>
          <t>HTTP 201. LC status = DRAFT. All five charge types captured. Allocation will be pro-rata to qty_in_base on confirm.</t>
        </is>
      </c>
      <c r="J31" s="16" t="inlineStr">
        <is>
          <t>/admin/landed-costs/create | POST /api/v1/landed-costs</t>
        </is>
      </c>
      <c r="K31" s="16" t="inlineStr">
        <is>
          <t>PURCHASE.LANDED_COST.CREATE (NOT seeded — rootadmin only)</t>
        </is>
      </c>
      <c r="L31" s="16" t="inlineStr"/>
      <c r="M31" s="17" t="inlineStr">
        <is>
          <t>Not Run</t>
        </is>
      </c>
      <c r="N31" s="17" t="inlineStr"/>
      <c r="O31" s="16" t="inlineStr"/>
      <c r="P31" s="16" t="inlineStr"/>
      <c r="Q31" s="16" t="inlineStr"/>
    </row>
    <row r="32">
      <c r="A32" s="18" t="inlineStr">
        <is>
          <t>P2P-052</t>
        </is>
      </c>
      <c r="B32" s="19" t="inlineStr">
        <is>
          <t>Landed Cost</t>
        </is>
      </c>
      <c r="C32" s="19" t="inlineStr">
        <is>
          <t>Confirm landed cost allocates charges to GR lines</t>
        </is>
      </c>
      <c r="D32" s="8" t="inlineStr">
        <is>
          <t>Positive</t>
        </is>
      </c>
      <c r="E32" s="8" t="inlineStr">
        <is>
          <t>High</t>
        </is>
      </c>
      <c r="F32" s="19" t="inlineStr">
        <is>
          <t>Run as rootadmin. A DRAFT LC over RECEIVED GR(s) exists.</t>
        </is>
      </c>
      <c r="G32" s="19" t="inlineStr">
        <is>
          <t>1. Open the DRAFT LC detail.
2. Click Confirm.</t>
        </is>
      </c>
      <c r="H32" s="19" t="inlineStr">
        <is>
          <t>DRAFT LC from P2P-050.</t>
        </is>
      </c>
      <c r="I32" s="19" t="inlineStr">
        <is>
          <t>LC status changes to CONFIRMED. Charges are allocated across GR lines per basis (BY_VALUE = pro-rata to line value; BY_QUANTITY = pro-rata to qty). LandedCostAllocated outbox event published.</t>
        </is>
      </c>
      <c r="J32" s="19" t="inlineStr">
        <is>
          <t>/admin/landed-costs/uid/:uid | POST /api/v1/landed-costs/uid/{uid}/confirm</t>
        </is>
      </c>
      <c r="K32" s="19" t="inlineStr">
        <is>
          <t>PURCHASE.LANDED_COST.CONFIRM (NOT seeded — rootadmin only)</t>
        </is>
      </c>
      <c r="L32" s="19" t="inlineStr"/>
      <c r="M32" s="8" t="inlineStr">
        <is>
          <t>Not Run</t>
        </is>
      </c>
      <c r="N32" s="8" t="inlineStr"/>
      <c r="O32" s="19" t="inlineStr"/>
      <c r="P32" s="19" t="inlineStr"/>
      <c r="Q32" s="19" t="inlineStr"/>
    </row>
    <row r="33">
      <c r="A33" s="15" t="inlineStr">
        <is>
          <t>P2P-053</t>
        </is>
      </c>
      <c r="B33" s="16" t="inlineStr">
        <is>
          <t>Landed Cost</t>
        </is>
      </c>
      <c r="C33" s="16" t="inlineStr">
        <is>
          <t>Landed cost view/create/confirm denied to fully-granted custom role (RBAC seed defect)</t>
        </is>
      </c>
      <c r="D33" s="17" t="inlineStr">
        <is>
          <t>Permission</t>
        </is>
      </c>
      <c r="E33" s="17" t="inlineStr">
        <is>
          <t>High</t>
        </is>
      </c>
      <c r="F33" s="16" t="inlineStr">
        <is>
          <t>A custom role granted every seeded permission. A DRAFT LC exists.</t>
        </is>
      </c>
      <c r="G33" s="16" t="inlineStr">
        <is>
          <t>1. Login as the custom-role user.
2. Navigate to /admin/landed-costs.
3. Attempt to create a new LC and confirm the existing DRAFT.</t>
        </is>
      </c>
      <c r="H33" s="16" t="inlineStr">
        <is>
          <t>Custom role with all seeded permissions.</t>
        </is>
      </c>
      <c r="I33" s="16" t="inlineStr">
        <is>
          <t>Nav item is hidden. Route guard redirects away. Any direct API call returns 403. Only rootadmin succeeds. This confirms the LANDEDCOST vs LANDED_COST permission code mismatch.</t>
        </is>
      </c>
      <c r="J33" s="16" t="inlineStr">
        <is>
          <t>/admin/landed-costs</t>
        </is>
      </c>
      <c r="K33" s="16" t="inlineStr">
        <is>
          <t>PURCHASE.LANDED_COST.VIEW (NOT seeded — rootadmin only)</t>
        </is>
      </c>
      <c r="L33" s="16" t="inlineStr"/>
      <c r="M33" s="17" t="inlineStr">
        <is>
          <t>Not Run</t>
        </is>
      </c>
      <c r="N33" s="17" t="inlineStr"/>
      <c r="O33" s="16" t="inlineStr"/>
      <c r="P33" s="16" t="inlineStr"/>
      <c r="Q33" s="16" t="inlineStr"/>
    </row>
    <row r="34">
      <c r="A34" s="18" t="inlineStr">
        <is>
          <t>P2P-060</t>
        </is>
      </c>
      <c r="B34" s="19" t="inlineStr">
        <is>
          <t>Supplier Bill</t>
        </is>
      </c>
      <c r="C34" s="19" t="inlineStr">
        <is>
          <t>Enter supplier bill against PO — all lines match, bill status = MATCHED</t>
        </is>
      </c>
      <c r="D34" s="8" t="inlineStr">
        <is>
          <t>Positive</t>
        </is>
      </c>
      <c r="E34" s="8" t="inlineStr">
        <is>
          <t>High</t>
        </is>
      </c>
      <c r="F34" s="19" t="inlineStr">
        <is>
          <t>User has AP.BILL.ENTER and AP.BILL.MATCH. An ORDERED or RECEIVED PO and a matching GR (same qty and unit cost) exist.</t>
        </is>
      </c>
      <c r="G34" s="19" t="inlineStr">
        <is>
          <t>1. Navigate to /admin/ap/supplier-bills/enter.
2. Pick supplier by name; enter supplier invoice no INV-2026-014, bill date, due date, currency TZS.
3. Choose the Purchase Order by number via picker.
4. Add bill lines matching GR qty=20 and unitCost=4800.
5. Click Enter Bill and Match.</t>
        </is>
      </c>
      <c r="H34" s="19" t="inlineStr">
        <is>
          <t>Invoice no: INV-2026-014. Currency: TZS. qty: 20. unitCost: 4800.</t>
        </is>
      </c>
      <c r="I34" s="19" t="inlineStr">
        <is>
          <t>Bill created DRAFT (HTTP 201). Match runs automatically. All lines matchStatus = MATCHED. Bill status = MATCHED. GL posts synchronously on full match. Result panel shows: All lines matched — bill is ready for payment.</t>
        </is>
      </c>
      <c r="J34" s="19" t="inlineStr">
        <is>
          <t>/admin/ap/supplier-bills/enter | POST /api/v1/ap/supplier-bills then POST .../match/run</t>
        </is>
      </c>
      <c r="K34" s="19" t="inlineStr">
        <is>
          <t>AP.BILL.ENTER + AP.BILL.MATCH</t>
        </is>
      </c>
      <c r="L34" s="19" t="inlineStr"/>
      <c r="M34" s="8" t="inlineStr">
        <is>
          <t>Not Run</t>
        </is>
      </c>
      <c r="N34" s="8" t="inlineStr"/>
      <c r="O34" s="19" t="inlineStr"/>
      <c r="P34" s="19" t="inlineStr"/>
      <c r="Q34" s="19" t="inlineStr"/>
    </row>
    <row r="35">
      <c r="A35" s="15" t="inlineStr">
        <is>
          <t>P2P-061</t>
        </is>
      </c>
      <c r="B35" s="16" t="inlineStr">
        <is>
          <t>Supplier Bill</t>
        </is>
      </c>
      <c r="C35" s="16" t="inlineStr">
        <is>
          <t>Bill match produces HELD_PRICE_VARIANCE then accept-variance posts</t>
        </is>
      </c>
      <c r="D35" s="17" t="inlineStr">
        <is>
          <t>Positive</t>
        </is>
      </c>
      <c r="E35" s="17" t="inlineStr">
        <is>
          <t>High</t>
        </is>
      </c>
      <c r="F35" s="16" t="inlineStr">
        <is>
          <t>User has AP.BILL.ENTER and AP.BILL.MATCH. A PO and GR at unitCost=4800 exist.</t>
        </is>
      </c>
      <c r="G35" s="16" t="inlineStr">
        <is>
          <t>1. Enter a bill with unitCost=5200 (over price tolerance).
2. Observe match result.
3. Click Accept Variance on the held line.</t>
        </is>
      </c>
      <c r="H35" s="16" t="inlineStr">
        <is>
          <t>PO/GR unitCost: 4800. Bill unitCost: 5200.</t>
        </is>
      </c>
      <c r="I35" s="16" t="inlineStr">
        <is>
          <t>Line matchStatus = HELD_PRICE_VARIANCE. Bill status = HELD. Price variance amount and percentage shown. After accepting, line status = VARIANCE_ACCEPTED. Once all variances accepted, bill status = MATCHED and GL posts.</t>
        </is>
      </c>
      <c r="J35" s="16" t="inlineStr">
        <is>
          <t>/admin/ap/supplier-bills/enter | POST .../match/run, POST .../match/accept-variance</t>
        </is>
      </c>
      <c r="K35" s="16" t="inlineStr">
        <is>
          <t>AP.BILL.ENTER + AP.BILL.MATCH</t>
        </is>
      </c>
      <c r="L35" s="16" t="inlineStr"/>
      <c r="M35" s="17" t="inlineStr">
        <is>
          <t>Not Run</t>
        </is>
      </c>
      <c r="N35" s="17" t="inlineStr"/>
      <c r="O35" s="16" t="inlineStr"/>
      <c r="P35" s="16" t="inlineStr"/>
      <c r="Q35" s="16" t="inlineStr"/>
    </row>
    <row r="36">
      <c r="A36" s="18" t="inlineStr">
        <is>
          <t>P2P-062</t>
        </is>
      </c>
      <c r="B36" s="19" t="inlineStr">
        <is>
          <t>Supplier Bill</t>
        </is>
      </c>
      <c r="C36" s="19" t="inlineStr">
        <is>
          <t>Bill match produces HELD_QTY_VARIANCE</t>
        </is>
      </c>
      <c r="D36" s="8" t="inlineStr">
        <is>
          <t>Positive</t>
        </is>
      </c>
      <c r="E36" s="8" t="inlineStr">
        <is>
          <t>High</t>
        </is>
      </c>
      <c r="F36" s="19" t="inlineStr">
        <is>
          <t>User has AP.BILL.MATCH. A GR received qty=20 exists. A bill with qty=25 exists.</t>
        </is>
      </c>
      <c r="G36" s="19" t="inlineStr">
        <is>
          <t>1. Enter a bill with line qty=25.
2. Run match.</t>
        </is>
      </c>
      <c r="H36" s="19" t="inlineStr">
        <is>
          <t>GR received qty: 20. Bill qty: 25.</t>
        </is>
      </c>
      <c r="I36" s="19" t="inlineStr">
        <is>
          <t>Line matchStatus = HELD_QTY_VARIANCE. Bill status = HELD. qtyVariance shown. Accepting the variance transitions to VARIANCE_ACCEPTED then MATCHED.</t>
        </is>
      </c>
      <c r="J36" s="19" t="inlineStr">
        <is>
          <t>POST /api/v1/ap/supplier-bills, POST .../match/run</t>
        </is>
      </c>
      <c r="K36" s="19" t="inlineStr">
        <is>
          <t>AP.BILL.MATCH</t>
        </is>
      </c>
      <c r="L36" s="19" t="inlineStr"/>
      <c r="M36" s="8" t="inlineStr">
        <is>
          <t>Not Run</t>
        </is>
      </c>
      <c r="N36" s="8" t="inlineStr"/>
      <c r="O36" s="19" t="inlineStr"/>
      <c r="P36" s="19" t="inlineStr"/>
      <c r="Q36" s="19" t="inlineStr"/>
    </row>
    <row r="37">
      <c r="A37" s="15" t="inlineStr">
        <is>
          <t>P2P-063</t>
        </is>
      </c>
      <c r="B37" s="16" t="inlineStr">
        <is>
          <t>Supplier Bill</t>
        </is>
      </c>
      <c r="C37" s="16" t="inlineStr">
        <is>
          <t>Service-only bill with no PO is entered without 3-way match</t>
        </is>
      </c>
      <c r="D37" s="17" t="inlineStr">
        <is>
          <t>Positive</t>
        </is>
      </c>
      <c r="E37" s="17" t="inlineStr">
        <is>
          <t>Medium</t>
        </is>
      </c>
      <c r="F37" s="16" t="inlineStr">
        <is>
          <t>User has AP.BILL.ENTER. A SERVICE supplier exists.</t>
        </is>
      </c>
      <c r="G37" s="16" t="inlineStr">
        <is>
          <t>1. Navigate to /admin/ap/supplier-bills/enter.
2. Pick SERVICE supplier by name.
3. Enter invoice details and service lines.
4. Submit without choosing a PO.</t>
        </is>
      </c>
      <c r="H37" s="16" t="inlineStr">
        <is>
          <t>SERVICE supplier. No purchaseOrderUid selected.</t>
        </is>
      </c>
      <c r="I37" s="16" t="inlineStr">
        <is>
          <t>Bill created in DRAFT without triggering 3-way match. No stock movement. Running match on a no-PO bill is rejected or handled gracefully.</t>
        </is>
      </c>
      <c r="J37" s="16" t="inlineStr">
        <is>
          <t>/admin/ap/supplier-bills/enter | POST /api/v1/ap/supplier-bills</t>
        </is>
      </c>
      <c r="K37" s="16" t="inlineStr">
        <is>
          <t>AP.BILL.ENTER</t>
        </is>
      </c>
      <c r="L37" s="16" t="inlineStr"/>
      <c r="M37" s="17" t="inlineStr">
        <is>
          <t>Not Run</t>
        </is>
      </c>
      <c r="N37" s="17" t="inlineStr"/>
      <c r="O37" s="16" t="inlineStr"/>
      <c r="P37" s="16" t="inlineStr"/>
      <c r="Q37" s="16" t="inlineStr"/>
    </row>
    <row r="38">
      <c r="A38" s="18" t="inlineStr">
        <is>
          <t>P2P-064</t>
        </is>
      </c>
      <c r="B38" s="19" t="inlineStr">
        <is>
          <t>Supplier Bill</t>
        </is>
      </c>
      <c r="C38" s="19" t="inlineStr">
        <is>
          <t>AP.VIEW-only user cannot enter a bill</t>
        </is>
      </c>
      <c r="D38" s="8" t="inlineStr">
        <is>
          <t>Permission</t>
        </is>
      </c>
      <c r="E38" s="8" t="inlineStr">
        <is>
          <t>High</t>
        </is>
      </c>
      <c r="F38" s="19" t="inlineStr">
        <is>
          <t>A user with AP.VIEW but not AP.BILL.ENTER.</t>
        </is>
      </c>
      <c r="G38" s="19" t="inlineStr">
        <is>
          <t>1. Login as the restricted user.
2. Navigate to /admin/ap/supplier-bills.
3. Attempt to access the Enter Bill route.</t>
        </is>
      </c>
      <c r="H38" s="19" t="inlineStr">
        <is>
          <t>User with AP.VIEW only.</t>
        </is>
      </c>
      <c r="I38" s="19" t="inlineStr">
        <is>
          <t>Enter Bill route and button are hidden. Direct POST to /api/v1/ap/supplier-bills returns HTTP 403.</t>
        </is>
      </c>
      <c r="J38" s="19" t="inlineStr">
        <is>
          <t>/admin/ap/supplier-bills/enter</t>
        </is>
      </c>
      <c r="K38" s="19" t="inlineStr">
        <is>
          <t>AP.VIEW (lacking AP.BILL.ENTER)</t>
        </is>
      </c>
      <c r="L38" s="19" t="inlineStr"/>
      <c r="M38" s="8" t="inlineStr">
        <is>
          <t>Not Run</t>
        </is>
      </c>
      <c r="N38" s="8" t="inlineStr"/>
      <c r="O38" s="19" t="inlineStr"/>
      <c r="P38" s="19" t="inlineStr"/>
      <c r="Q38" s="19" t="inlineStr"/>
    </row>
    <row r="39">
      <c r="A39" s="15" t="inlineStr">
        <is>
          <t>P2P-070</t>
        </is>
      </c>
      <c r="B39" s="16" t="inlineStr">
        <is>
          <t>Purchase Return</t>
        </is>
      </c>
      <c r="C39" s="16" t="inlineStr">
        <is>
          <t>Create purchase return (partial) against a RECEIVED GR</t>
        </is>
      </c>
      <c r="D39" s="17" t="inlineStr">
        <is>
          <t>Positive</t>
        </is>
      </c>
      <c r="E39" s="17" t="inlineStr">
        <is>
          <t>High</t>
        </is>
      </c>
      <c r="F39" s="16" t="inlineStr">
        <is>
          <t>User has PURCHASE.RETURN.CREATE. A RECEIVED GR with GOODS lines (received qty=20) exists.</t>
        </is>
      </c>
      <c r="G39" s="16" t="inlineStr">
        <is>
          <t>1. Navigate to /admin/purchase-returns/create.
2. Choose the GR by GRN number via picker.
3. Enter reason: Damaged on arrival.
4. Enter returnedQty=5 for the line.
5. Submit.</t>
        </is>
      </c>
      <c r="H39" s="16" t="inlineStr">
        <is>
          <t>GRN selected. reason: Damaged on arrival. returnedQty: 5.</t>
        </is>
      </c>
      <c r="I39" s="16" t="inlineStr">
        <is>
          <t>HTTP 201. Purchase return status = DRAFT. Lines reference GR lines. Return number assigned.</t>
        </is>
      </c>
      <c r="J39" s="16" t="inlineStr">
        <is>
          <t>/admin/purchase-returns/create | POST /api/v1/purchase-returns</t>
        </is>
      </c>
      <c r="K39" s="16" t="inlineStr">
        <is>
          <t>PURCHASE.RETURN.CREATE</t>
        </is>
      </c>
      <c r="L39" s="16" t="inlineStr"/>
      <c r="M39" s="17" t="inlineStr">
        <is>
          <t>Not Run</t>
        </is>
      </c>
      <c r="N39" s="17" t="inlineStr"/>
      <c r="O39" s="16" t="inlineStr"/>
      <c r="P39" s="16" t="inlineStr"/>
      <c r="Q39" s="16" t="inlineStr"/>
    </row>
    <row r="40">
      <c r="A40" s="18" t="inlineStr">
        <is>
          <t>P2P-071</t>
        </is>
      </c>
      <c r="B40" s="19" t="inlineStr">
        <is>
          <t>Purchase Return</t>
        </is>
      </c>
      <c r="C40" s="19" t="inlineStr">
        <is>
          <t>Confirm purchase return — rootadmin only due to PURCHASE.RETURN.CONFIRM not seeded</t>
        </is>
      </c>
      <c r="D40" s="8" t="inlineStr">
        <is>
          <t>Positive</t>
        </is>
      </c>
      <c r="E40" s="8" t="inlineStr">
        <is>
          <t>High</t>
        </is>
      </c>
      <c r="F40" s="19" t="inlineStr">
        <is>
          <t>Run as rootadmin. A DRAFT purchase return exists.</t>
        </is>
      </c>
      <c r="G40" s="19" t="inlineStr">
        <is>
          <t>1. Open the DRAFT purchase return detail.
2. Click Confirm.</t>
        </is>
      </c>
      <c r="H40" s="19" t="inlineStr">
        <is>
          <t>DRAFT purchase return from P2P-070.</t>
        </is>
      </c>
      <c r="I40" s="19" t="inlineStr">
        <is>
          <t>Status changes to CONFIRMED. PURCHASE.RETURNED outbox event published (triggers stock-out and supplier debit downstream).</t>
        </is>
      </c>
      <c r="J40" s="19" t="inlineStr">
        <is>
          <t>/admin/purchase-returns/uid/:uid | POST /api/v1/purchase-returns/uid/{uid}/confirm</t>
        </is>
      </c>
      <c r="K40" s="19" t="inlineStr">
        <is>
          <t>PURCHASE.RETURN.CONFIRM (NOT seeded — rootadmin only)</t>
        </is>
      </c>
      <c r="L40" s="19" t="inlineStr"/>
      <c r="M40" s="8" t="inlineStr">
        <is>
          <t>Not Run</t>
        </is>
      </c>
      <c r="N40" s="8" t="inlineStr"/>
      <c r="O40" s="19" t="inlineStr"/>
      <c r="P40" s="19" t="inlineStr"/>
      <c r="Q40" s="19" t="inlineStr"/>
    </row>
    <row r="41">
      <c r="A41" s="15" t="inlineStr">
        <is>
          <t>P2P-072</t>
        </is>
      </c>
      <c r="B41" s="16" t="inlineStr">
        <is>
          <t>Purchase Return</t>
        </is>
      </c>
      <c r="C41" s="16" t="inlineStr">
        <is>
          <t>returnedQty exceeding received qty is rejected</t>
        </is>
      </c>
      <c r="D41" s="17" t="inlineStr">
        <is>
          <t>Negative</t>
        </is>
      </c>
      <c r="E41" s="17" t="inlineStr">
        <is>
          <t>High</t>
        </is>
      </c>
      <c r="F41" s="16" t="inlineStr">
        <is>
          <t>User has PURCHASE.RETURN.CREATE. A RECEIVED GR with received qty=20 exists.</t>
        </is>
      </c>
      <c r="G41" s="16" t="inlineStr">
        <is>
          <t>1. Navigate to /admin/purchase-returns/create.
2. Choose the GR.
3. Enter returnedQty=25 for the line.
4. Submit.</t>
        </is>
      </c>
      <c r="H41" s="16" t="inlineStr">
        <is>
          <t>Received qty: 20. Attempted returnedQty: 25.</t>
        </is>
      </c>
      <c r="I41" s="16" t="inlineStr">
        <is>
          <t>Service rejects the return. Error message returned. Return is not created.</t>
        </is>
      </c>
      <c r="J41" s="16" t="inlineStr">
        <is>
          <t>/admin/purchase-returns/create | POST /api/v1/purchase-returns</t>
        </is>
      </c>
      <c r="K41" s="16" t="inlineStr">
        <is>
          <t>PURCHASE.RETURN.CREATE</t>
        </is>
      </c>
      <c r="L41" s="16" t="inlineStr"/>
      <c r="M41" s="17" t="inlineStr">
        <is>
          <t>Not Run</t>
        </is>
      </c>
      <c r="N41" s="17" t="inlineStr"/>
      <c r="O41" s="16" t="inlineStr"/>
      <c r="P41" s="16" t="inlineStr"/>
      <c r="Q41" s="16" t="inlineStr"/>
    </row>
    <row r="42">
      <c r="A42" s="18" t="inlineStr">
        <is>
          <t>P2P-080</t>
        </is>
      </c>
      <c r="B42" s="19" t="inlineStr">
        <is>
          <t>Purchase Settings</t>
        </is>
      </c>
      <c r="C42" s="19" t="inlineStr">
        <is>
          <t>View and edit purchase settings — rootadmin only due to RBAC seed defect</t>
        </is>
      </c>
      <c r="D42" s="8" t="inlineStr">
        <is>
          <t>Positive</t>
        </is>
      </c>
      <c r="E42" s="8" t="inlineStr">
        <is>
          <t>Medium</t>
        </is>
      </c>
      <c r="F42" s="19" t="inlineStr">
        <is>
          <t>Run as rootadmin. PURCHASE.SETTINGS.VIEW and PURCHASE.SETTINGS.EDIT are NOT seeded (controller uses VIEW/EDIT; seed only has MANAGE). A company exists.</t>
        </is>
      </c>
      <c r="G42" s="19" t="inlineStr">
        <is>
          <t>1. Navigate to /admin/purchase-settings.
2. Toggle poApprovalEnabled = true.
3. Set threshold=1000000 and currency TZS.
4. Save.</t>
        </is>
      </c>
      <c r="H42" s="19" t="inlineStr">
        <is>
          <t>poApprovalEnabled: true. threshold: 1000000. currency: TZS.</t>
        </is>
      </c>
      <c r="I42" s="19" t="inlineStr">
        <is>
          <t>Settings persisted (HTTP 200). POs at or above threshold will subsequently enter PoApprovalStatus.PENDING.</t>
        </is>
      </c>
      <c r="J42" s="19" t="inlineStr">
        <is>
          <t>/admin/purchase-settings | GET /api/v1/purchase-settings/by-company/{companyUid} | PUT /api/v1/purchase-settings</t>
        </is>
      </c>
      <c r="K42" s="19" t="inlineStr">
        <is>
          <t>PURCHASE.SETTINGS.VIEW / PURCHASE.SETTINGS.EDIT (NOT seeded — rootadmin only)</t>
        </is>
      </c>
      <c r="L42" s="19" t="inlineStr"/>
      <c r="M42" s="8" t="inlineStr">
        <is>
          <t>Not Run</t>
        </is>
      </c>
      <c r="N42" s="8" t="inlineStr"/>
      <c r="O42" s="19" t="inlineStr"/>
      <c r="P42" s="19" t="inlineStr"/>
      <c r="Q42" s="19" t="inlineStr"/>
    </row>
    <row r="43">
      <c r="A43" s="15" t="inlineStr">
        <is>
          <t>P2P-090</t>
        </is>
      </c>
      <c r="B43" s="16" t="inlineStr">
        <is>
          <t>Full Chain</t>
        </is>
      </c>
      <c r="C43" s="16" t="inlineStr">
        <is>
          <t>Full P2P chain: requisition &gt; RFQ &gt; quote &gt; award(PO) &gt; place &gt; receive &gt; landed-cost &gt; bill &gt; match &gt; return</t>
        </is>
      </c>
      <c r="D43" s="17" t="inlineStr">
        <is>
          <t>Positive</t>
        </is>
      </c>
      <c r="E43" s="17" t="inlineStr">
        <is>
          <t>High</t>
        </is>
      </c>
      <c r="F43" s="16" t="inlineStr">
        <is>
          <t>Run as rootadmin. One GOODS supplier, one GOODS product and unit, company with default branch, purchase settings with approval disabled.</t>
        </is>
      </c>
      <c r="G43" s="16" t="inlineStr">
        <is>
          <t>1. Create requisition (DRAFT) with one GOODS line; Submit; Approve; Convert to RFQ.
2. Open RFQ; Send; Capture two quotes (different prices); Award the cheaper — PO created DRAFT.
3. Open PO; Place (ORDERED).
4. Create GR for full qty — PO becomes RECEIVED, GRN-#### assigned.
5. Create landed cost (BY_VALUE, FREIGHT charge) over the GR; Confirm.
6. Enter supplier bill matching PO qty and price; auto match — bill status = MATCHED.
7. Create purchase return for damaged units against the GR; Confirm.</t>
        </is>
      </c>
      <c r="H43" s="16" t="inlineStr">
        <is>
          <t>GOODS supplier. GOODS product. Approval disabled. Two quotes with different unit prices.</t>
        </is>
      </c>
      <c r="I43" s="16" t="inlineStr">
        <is>
          <t>Every transition lands the expected status: Requisition CONVERTED, RFQ AWARDED, Quote AWARDED/NOT_AWARDED, PO RECEIVED, GR RECEIVED, LC CONFIRMED, Bill MATCHED, Return CONFIRMED. All document numbers are human-readable (PO-####, GRN-####). uids appear only in URLs.</t>
        </is>
      </c>
      <c r="J43" s="16" t="inlineStr">
        <is>
          <t>All PROC routes</t>
        </is>
      </c>
      <c r="K43" s="16" t="inlineStr">
        <is>
          <t>rootadmin (full chain requires codes not grantable to custom roles)</t>
        </is>
      </c>
      <c r="L43" s="16" t="inlineStr"/>
      <c r="M43" s="17" t="inlineStr">
        <is>
          <t>Not Run</t>
        </is>
      </c>
      <c r="N43" s="17" t="inlineStr"/>
      <c r="O43" s="16" t="inlineStr"/>
      <c r="P43" s="16" t="inlineStr"/>
      <c r="Q43" s="16" t="inlineStr"/>
    </row>
  </sheetData>
  <autoFilter ref="A2:Q43"/>
  <mergeCells count="1">
    <mergeCell ref="A1:Q1"/>
  </mergeCells>
  <dataValidations count="4">
    <dataValidation sqref="D3:D43" showDropDown="0" showInputMessage="0" showErrorMessage="0" allowBlank="1" type="list">
      <formula1>"Positive,Negative,Permission,Edge"</formula1>
    </dataValidation>
    <dataValidation sqref="E3:E43" showDropDown="0" showInputMessage="0" showErrorMessage="0" allowBlank="1" type="list">
      <formula1>"High,Medium,Low"</formula1>
    </dataValidation>
    <dataValidation sqref="M3:M43" showDropDown="0" showInputMessage="0" showErrorMessage="0" allowBlank="1" type="list">
      <formula1>"Not Run,Pass,Fail,Blocked,N/A"</formula1>
    </dataValidation>
    <dataValidation sqref="N3:N43" showDropDown="0" showInputMessage="0" showErrorMessage="0" allowBlank="1" type="list">
      <formula1>"-,Critical,High,Medium,Low"</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42"/>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Inventory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INV-001</t>
        </is>
      </c>
      <c r="B3" s="16" t="inlineStr">
        <is>
          <t>Stock On-Hand</t>
        </is>
      </c>
      <c r="C3" s="16" t="inlineStr">
        <is>
          <t>Stock on-hand list loads with pagination and company/branch scope</t>
        </is>
      </c>
      <c r="D3" s="17" t="inlineStr">
        <is>
          <t>Positive</t>
        </is>
      </c>
      <c r="E3" s="17" t="inlineStr">
        <is>
          <t>High</t>
        </is>
      </c>
      <c r="F3" s="16" t="inlineStr">
        <is>
          <t>User has STOCK.VIEW. At least 25 GOODS products with on-hand rows at the active branch.</t>
        </is>
      </c>
      <c r="G3" s="16" t="inlineStr">
        <is>
          <t>1. Navigate to /admin/stock.
2. Confirm table rows with quantity (3-dp), reorder level, and negative/low flags.
3. Verify paginator shows all five controls.
4. Click NEXT; confirm page 2 loads.
5. Click FIRST to return.</t>
        </is>
      </c>
      <c r="H3" s="16" t="inlineStr">
        <is>
          <t>Company: Acme HQ. Default branch.</t>
        </is>
      </c>
      <c r="I3" s="16" t="inlineStr">
        <is>
          <t>Table shows product code/name, quantity (3-dp), reorder level, negative and low flags. ApiResponse with meta (page/size/totalElements/totalPages/hasNext). HTTP 200.</t>
        </is>
      </c>
      <c r="J3" s="16" t="inlineStr">
        <is>
          <t>/admin/stock | GET /api/v1/stock/on-hand</t>
        </is>
      </c>
      <c r="K3" s="16" t="inlineStr">
        <is>
          <t>STOCK.VIEW</t>
        </is>
      </c>
      <c r="L3" s="16" t="inlineStr"/>
      <c r="M3" s="17" t="inlineStr">
        <is>
          <t>Not Run</t>
        </is>
      </c>
      <c r="N3" s="17" t="inlineStr"/>
      <c r="O3" s="16" t="inlineStr"/>
      <c r="P3" s="16" t="inlineStr"/>
      <c r="Q3" s="16" t="inlineStr"/>
    </row>
    <row r="4">
      <c r="A4" s="18" t="inlineStr">
        <is>
          <t>INV-002</t>
        </is>
      </c>
      <c r="B4" s="19" t="inlineStr">
        <is>
          <t>Stock On-Hand</t>
        </is>
      </c>
      <c r="C4" s="19" t="inlineStr">
        <is>
          <t>On-hand search filter with debounce resets to page 0</t>
        </is>
      </c>
      <c r="D4" s="8" t="inlineStr">
        <is>
          <t>Positive</t>
        </is>
      </c>
      <c r="E4" s="8" t="inlineStr">
        <is>
          <t>Medium</t>
        </is>
      </c>
      <c r="F4" s="19" t="inlineStr">
        <is>
          <t>User has STOCK.VIEW. Products including one named WIDGET-100 exist.</t>
        </is>
      </c>
      <c r="G4" s="19" t="inlineStr">
        <is>
          <t>1. Navigate to /admin/stock; go to page 2.
2. Type WIDGET into the search box.
3. Wait for 300ms debounce.
4. Confirm the request fires with q=WIDGET&amp;page=0.</t>
        </is>
      </c>
      <c r="H4" s="19" t="inlineStr">
        <is>
          <t>q: WIDGET.</t>
        </is>
      </c>
      <c r="I4" s="19" t="inlineStr">
        <is>
          <t>Results filtered to matching rows. Current page resets to 0. No uid visible in the table.</t>
        </is>
      </c>
      <c r="J4" s="19" t="inlineStr">
        <is>
          <t>/admin/stock | GET /api/v1/stock/on-hand?q=</t>
        </is>
      </c>
      <c r="K4" s="19" t="inlineStr">
        <is>
          <t>STOCK.VIEW</t>
        </is>
      </c>
      <c r="L4" s="19" t="inlineStr"/>
      <c r="M4" s="8" t="inlineStr">
        <is>
          <t>Not Run</t>
        </is>
      </c>
      <c r="N4" s="8" t="inlineStr"/>
      <c r="O4" s="19" t="inlineStr"/>
      <c r="P4" s="19" t="inlineStr"/>
      <c r="Q4" s="19" t="inlineStr"/>
    </row>
    <row r="5">
      <c r="A5" s="15" t="inlineStr">
        <is>
          <t>INV-003</t>
        </is>
      </c>
      <c r="B5" s="16" t="inlineStr">
        <is>
          <t>Stock On-Hand</t>
        </is>
      </c>
      <c r="C5" s="16" t="inlineStr">
        <is>
          <t>On-hand negative and low-stock derived flags are displayed</t>
        </is>
      </c>
      <c r="D5" s="17" t="inlineStr">
        <is>
          <t>Positive</t>
        </is>
      </c>
      <c r="E5" s="17" t="inlineStr">
        <is>
          <t>Medium</t>
        </is>
      </c>
      <c r="F5" s="16" t="inlineStr">
        <is>
          <t>User has STOCK.VIEW. One product with negative on-hand (oversold). One product with quantity at or below its reorderLevel.</t>
        </is>
      </c>
      <c r="G5" s="16" t="inlineStr">
        <is>
          <t>1. Open /admin/stock.
2. Locate the negative-on-hand row and the low-stock row.</t>
        </is>
      </c>
      <c r="H5" s="16" t="inlineStr">
        <is>
          <t>Product A: quantity &lt; 0. Product B: quantity &lt;= reorderLevel.</t>
        </is>
      </c>
      <c r="I5" s="16" t="inlineStr">
        <is>
          <t>negative=true row is visually flagged with an overselling indicator. low=true row is flagged with a reorder indicator. Both flags are server-derived from StockOnHandDto.from(), not stored columns.</t>
        </is>
      </c>
      <c r="J5" s="16" t="inlineStr">
        <is>
          <t>/admin/stock | GET /api/v1/stock/on-hand</t>
        </is>
      </c>
      <c r="K5" s="16" t="inlineStr">
        <is>
          <t>STOCK.VIEW</t>
        </is>
      </c>
      <c r="L5" s="16" t="inlineStr"/>
      <c r="M5" s="17" t="inlineStr">
        <is>
          <t>Not Run</t>
        </is>
      </c>
      <c r="N5" s="17" t="inlineStr"/>
      <c r="O5" s="16" t="inlineStr"/>
      <c r="P5" s="16" t="inlineStr"/>
      <c r="Q5" s="16" t="inlineStr"/>
    </row>
    <row r="6">
      <c r="A6" s="18" t="inlineStr">
        <is>
          <t>INV-004</t>
        </is>
      </c>
      <c r="B6" s="19" t="inlineStr">
        <is>
          <t>Stock On-Hand</t>
        </is>
      </c>
      <c r="C6" s="19" t="inlineStr">
        <is>
          <t>NO-PERMISSION user cannot access stock on-hand</t>
        </is>
      </c>
      <c r="D6" s="8" t="inlineStr">
        <is>
          <t>Permission</t>
        </is>
      </c>
      <c r="E6" s="8" t="inlineStr">
        <is>
          <t>High</t>
        </is>
      </c>
      <c r="F6" s="19" t="inlineStr">
        <is>
          <t>A user with zero permissions assigned to a company/branch.</t>
        </is>
      </c>
      <c r="G6" s="19" t="inlineStr">
        <is>
          <t>1. Login as the no-permission user.
2. Inspect the shell nav.
3. Attempt to navigate directly to /admin/stock.</t>
        </is>
      </c>
      <c r="H6" s="19" t="inlineStr">
        <is>
          <t>User with no permissions.</t>
        </is>
      </c>
      <c r="I6" s="19" t="inlineStr">
        <is>
          <t>No Inventory nav items render. Direct navigation is redirected to /admin/home by the route guard (requirePermission('STOCK.VIEW')). Backend GET /api/v1/stock/on-hand returns 403.</t>
        </is>
      </c>
      <c r="J6" s="19" t="inlineStr">
        <is>
          <t>/admin/stock</t>
        </is>
      </c>
      <c r="K6" s="19" t="inlineStr">
        <is>
          <t>None (STOCK.VIEW missing)</t>
        </is>
      </c>
      <c r="L6" s="19" t="inlineStr"/>
      <c r="M6" s="8" t="inlineStr">
        <is>
          <t>Not Run</t>
        </is>
      </c>
      <c r="N6" s="8" t="inlineStr"/>
      <c r="O6" s="19" t="inlineStr"/>
      <c r="P6" s="19" t="inlineStr"/>
      <c r="Q6" s="19" t="inlineStr"/>
    </row>
    <row r="7">
      <c r="A7" s="15" t="inlineStr">
        <is>
          <t>INV-005</t>
        </is>
      </c>
      <c r="B7" s="16" t="inlineStr">
        <is>
          <t>Stock On-Hand</t>
        </is>
      </c>
      <c r="C7" s="16" t="inlineStr">
        <is>
          <t>By-Location view shows per-location on-hand rows</t>
        </is>
      </c>
      <c r="D7" s="17" t="inlineStr">
        <is>
          <t>Positive</t>
        </is>
      </c>
      <c r="E7" s="17" t="inlineStr">
        <is>
          <t>High</t>
        </is>
      </c>
      <c r="F7" s="16" t="inlineStr">
        <is>
          <t>User has STOCK.VIEW. Multiple stock locations at the active branch with on-hand.</t>
        </is>
      </c>
      <c r="G7" s="16" t="inlineStr">
        <is>
          <t>1. Navigate to /admin/stock; select a branch.
2. Toggle view mode to By Location.
3. Confirm rows show location code/name, product code/name, quantity, onHandValue, avgCost, currency.</t>
        </is>
      </c>
      <c r="H7" s="16" t="inlineStr">
        <is>
          <t>Branch: Main Branch.</t>
        </is>
      </c>
      <c r="I7" s="16" t="inlineStr">
        <is>
          <t>LocationOnHandRowDto rows paged. Money formatted with currency. No raw uid visible. companyId and branchId sent as wire params.</t>
        </is>
      </c>
      <c r="J7" s="16" t="inlineStr">
        <is>
          <t>/admin/stock | GET /api/v1/stock/on-hand/by-location</t>
        </is>
      </c>
      <c r="K7" s="16" t="inlineStr">
        <is>
          <t>STOCK.VIEW</t>
        </is>
      </c>
      <c r="L7" s="16" t="inlineStr"/>
      <c r="M7" s="17" t="inlineStr">
        <is>
          <t>Not Run</t>
        </is>
      </c>
      <c r="N7" s="17" t="inlineStr"/>
      <c r="O7" s="16" t="inlineStr"/>
      <c r="P7" s="16" t="inlineStr"/>
      <c r="Q7" s="16" t="inlineStr"/>
    </row>
    <row r="8">
      <c r="A8" s="18" t="inlineStr">
        <is>
          <t>INV-006</t>
        </is>
      </c>
      <c r="B8" s="19" t="inlineStr">
        <is>
          <t>Stock On-Hand</t>
        </is>
      </c>
      <c r="C8" s="19" t="inlineStr">
        <is>
          <t>By-Product view selects product via picker and lists all holding locations</t>
        </is>
      </c>
      <c r="D8" s="8" t="inlineStr">
        <is>
          <t>Positive</t>
        </is>
      </c>
      <c r="E8" s="8" t="inlineStr">
        <is>
          <t>High</t>
        </is>
      </c>
      <c r="F8" s="19" t="inlineStr">
        <is>
          <t>User has STOCK.VIEW. A GOODS product held at at least 2 locations.</t>
        </is>
      </c>
      <c r="G8" s="19" t="inlineStr">
        <is>
          <t>1. Toggle to By Product.
2. Type product name in the search; pick result by name (code — name format).
3. Confirm per-location breakdown loads.</t>
        </is>
      </c>
      <c r="H8" s="19" t="inlineStr">
        <is>
          <t>Product: WIDGET-100. Held at 2 locations.</t>
        </is>
      </c>
      <c r="I8" s="19" t="inlineStr">
        <is>
          <t>All locations holding the product shown with quantity/value. productUid placed in URL path only; product chosen by name.</t>
        </is>
      </c>
      <c r="J8" s="19" t="inlineStr">
        <is>
          <t>/admin/stock | GET /api/v1/stock/on-hand/by-product/uid/{productUid}</t>
        </is>
      </c>
      <c r="K8" s="19" t="inlineStr">
        <is>
          <t>STOCK.VIEW</t>
        </is>
      </c>
      <c r="L8" s="19" t="inlineStr"/>
      <c r="M8" s="8" t="inlineStr">
        <is>
          <t>Not Run</t>
        </is>
      </c>
      <c r="N8" s="8" t="inlineStr"/>
      <c r="O8" s="19" t="inlineStr"/>
      <c r="P8" s="19" t="inlineStr"/>
      <c r="Q8" s="19" t="inlineStr"/>
    </row>
    <row r="9">
      <c r="A9" s="15" t="inlineStr">
        <is>
          <t>INV-007</t>
        </is>
      </c>
      <c r="B9" s="16" t="inlineStr">
        <is>
          <t>Stock On-Hand</t>
        </is>
      </c>
      <c r="C9" s="16" t="inlineStr">
        <is>
          <t>Manual positive adjustment with reason COUNT_CORRECTION</t>
        </is>
      </c>
      <c r="D9" s="17" t="inlineStr">
        <is>
          <t>Positive</t>
        </is>
      </c>
      <c r="E9" s="17" t="inlineStr">
        <is>
          <t>High</t>
        </is>
      </c>
      <c r="F9" s="16" t="inlineStr">
        <is>
          <t>User has STOCK.ADJUST. An on-hand row for a GOODS product exists.</t>
        </is>
      </c>
      <c r="G9" s="16" t="inlineStr">
        <is>
          <t>1. Open /admin/stock; on a row click Adjust.
2. Product is pre-selected by name. Choose reason = COUNT_CORRECTION.
3. Enter quantity=10, note=cycle count fix.
4. Submit.</t>
        </is>
      </c>
      <c r="H9" s="16" t="inlineStr">
        <is>
          <t>quantity: 10. reason: COUNT_CORRECTION.</t>
        </is>
      </c>
      <c r="I9" s="16" t="inlineStr">
        <is>
          <t>HTTP 201. StockMovementDto with movementType=ADJUSTMENT and direction=IN. On-hand increases by 10. Adjustment is an appended movement row (not an edit).</t>
        </is>
      </c>
      <c r="J9" s="16" t="inlineStr">
        <is>
          <t>/admin/stock | POST /api/v1/stock/adjustments</t>
        </is>
      </c>
      <c r="K9" s="16" t="inlineStr">
        <is>
          <t>STOCK.ADJUST</t>
        </is>
      </c>
      <c r="L9" s="16" t="inlineStr"/>
      <c r="M9" s="17" t="inlineStr">
        <is>
          <t>Not Run</t>
        </is>
      </c>
      <c r="N9" s="17" t="inlineStr"/>
      <c r="O9" s="16" t="inlineStr"/>
      <c r="P9" s="16" t="inlineStr"/>
      <c r="Q9" s="16" t="inlineStr"/>
    </row>
    <row r="10">
      <c r="A10" s="18" t="inlineStr">
        <is>
          <t>INV-008</t>
        </is>
      </c>
      <c r="B10" s="19" t="inlineStr">
        <is>
          <t>Stock On-Hand</t>
        </is>
      </c>
      <c r="C10" s="19" t="inlineStr">
        <is>
          <t>Manual negative adjustment with reason DAMAGE drives stock down</t>
        </is>
      </c>
      <c r="D10" s="8" t="inlineStr">
        <is>
          <t>Positive</t>
        </is>
      </c>
      <c r="E10" s="8" t="inlineStr">
        <is>
          <t>Medium</t>
        </is>
      </c>
      <c r="F10" s="19" t="inlineStr">
        <is>
          <t>User has STOCK.ADJUST. An on-hand row with quantity &gt; 3 exists.</t>
        </is>
      </c>
      <c r="G10" s="19" t="inlineStr">
        <is>
          <t>1. Open /admin/stock; click Adjust on a row.
2. Choose reason = DAMAGE.
3. Enter quantity=-3.
4. Submit.</t>
        </is>
      </c>
      <c r="H10" s="19" t="inlineStr">
        <is>
          <t>quantity: -3. reason: DAMAGE.</t>
        </is>
      </c>
      <c r="I10" s="19" t="inlineStr">
        <is>
          <t>HTTP 201. direction=OUT. On-hand decreases by 3. If this creates a negative on-hand, the negative flag is set (allowed but flagged — not a hard reject).</t>
        </is>
      </c>
      <c r="J10" s="19" t="inlineStr">
        <is>
          <t>/admin/stock | POST /api/v1/stock/adjustments</t>
        </is>
      </c>
      <c r="K10" s="19" t="inlineStr">
        <is>
          <t>STOCK.ADJUST</t>
        </is>
      </c>
      <c r="L10" s="19" t="inlineStr"/>
      <c r="M10" s="8" t="inlineStr">
        <is>
          <t>Not Run</t>
        </is>
      </c>
      <c r="N10" s="8" t="inlineStr"/>
      <c r="O10" s="19" t="inlineStr"/>
      <c r="P10" s="19" t="inlineStr"/>
      <c r="Q10" s="19" t="inlineStr"/>
    </row>
    <row r="11">
      <c r="A11" s="15" t="inlineStr">
        <is>
          <t>INV-009</t>
        </is>
      </c>
      <c r="B11" s="16" t="inlineStr">
        <is>
          <t>Stock On-Hand</t>
        </is>
      </c>
      <c r="C11" s="16" t="inlineStr">
        <is>
          <t>STOCK.VIEW-only user cannot perform manual adjustment</t>
        </is>
      </c>
      <c r="D11" s="17" t="inlineStr">
        <is>
          <t>Permission</t>
        </is>
      </c>
      <c r="E11" s="17" t="inlineStr">
        <is>
          <t>High</t>
        </is>
      </c>
      <c r="F11" s="16" t="inlineStr">
        <is>
          <t>A user with STOCK.VIEW but not STOCK.ADJUST.</t>
        </is>
      </c>
      <c r="G11" s="16" t="inlineStr">
        <is>
          <t>1. Login as the restricted user.
2. Open /admin/stock.
3. Observe the Adjust action on a row.</t>
        </is>
      </c>
      <c r="H11" s="16" t="inlineStr">
        <is>
          <t>User with STOCK.VIEW only.</t>
        </is>
      </c>
      <c r="I11" s="16" t="inlineStr">
        <is>
          <t>Adjust action is hidden. Direct POST to /api/v1/stock/adjustments returns HTTP 403.</t>
        </is>
      </c>
      <c r="J11" s="16" t="inlineStr">
        <is>
          <t>/admin/stock</t>
        </is>
      </c>
      <c r="K11" s="16" t="inlineStr">
        <is>
          <t>STOCK.VIEW (lacking STOCK.ADJUST)</t>
        </is>
      </c>
      <c r="L11" s="16" t="inlineStr"/>
      <c r="M11" s="17" t="inlineStr">
        <is>
          <t>Not Run</t>
        </is>
      </c>
      <c r="N11" s="17" t="inlineStr"/>
      <c r="O11" s="16" t="inlineStr"/>
      <c r="P11" s="16" t="inlineStr"/>
      <c r="Q11" s="16" t="inlineStr"/>
    </row>
    <row r="12">
      <c r="A12" s="18" t="inlineStr">
        <is>
          <t>INV-010</t>
        </is>
      </c>
      <c r="B12" s="19" t="inlineStr">
        <is>
          <t>Stock On-Hand</t>
        </is>
      </c>
      <c r="C12" s="19" t="inlineStr">
        <is>
          <t>Opening balance for a never-tracked product</t>
        </is>
      </c>
      <c r="D12" s="8" t="inlineStr">
        <is>
          <t>Positive</t>
        </is>
      </c>
      <c r="E12" s="8" t="inlineStr">
        <is>
          <t>High</t>
        </is>
      </c>
      <c r="F12" s="19" t="inlineStr">
        <is>
          <t>User has STOCK.OPENING. A GOODS product with NO prior stock movement at the active branch.</t>
        </is>
      </c>
      <c r="G12" s="19" t="inlineStr">
        <is>
          <t>1. Open /admin/stock; click Opening balance.
2. Pick the product by name via picker.
3. Enter quantity=100, note=go-live.
4. Submit.</t>
        </is>
      </c>
      <c r="H12" s="19" t="inlineStr">
        <is>
          <t>quantity: 100.</t>
        </is>
      </c>
      <c r="I12" s="19" t="inlineStr">
        <is>
          <t>HTTP 201. StockMovementDto with movementType=OPENING_BALANCE and direction=IN. On-hand becomes 100.</t>
        </is>
      </c>
      <c r="J12" s="19" t="inlineStr">
        <is>
          <t>/admin/stock | POST /api/v1/stock/opening-balances</t>
        </is>
      </c>
      <c r="K12" s="19" t="inlineStr">
        <is>
          <t>STOCK.OPENING</t>
        </is>
      </c>
      <c r="L12" s="19" t="inlineStr"/>
      <c r="M12" s="8" t="inlineStr">
        <is>
          <t>Not Run</t>
        </is>
      </c>
      <c r="N12" s="8" t="inlineStr"/>
      <c r="O12" s="19" t="inlineStr"/>
      <c r="P12" s="19" t="inlineStr"/>
      <c r="Q12" s="19" t="inlineStr"/>
    </row>
    <row r="13">
      <c r="A13" s="15" t="inlineStr">
        <is>
          <t>INV-011</t>
        </is>
      </c>
      <c r="B13" s="16" t="inlineStr">
        <is>
          <t>Stock On-Hand</t>
        </is>
      </c>
      <c r="C13" s="16" t="inlineStr">
        <is>
          <t>Opening balance rejected when stock is already tracked</t>
        </is>
      </c>
      <c r="D13" s="17" t="inlineStr">
        <is>
          <t>Negative</t>
        </is>
      </c>
      <c r="E13" s="17" t="inlineStr">
        <is>
          <t>Medium</t>
        </is>
      </c>
      <c r="F13" s="16" t="inlineStr">
        <is>
          <t>User has STOCK.OPENING. A product that already has an opening balance or prior movement.</t>
        </is>
      </c>
      <c r="G13" s="16" t="inlineStr">
        <is>
          <t>1. Open /admin/stock; click Opening balance.
2. Pick the already-tracked product.
3. Enter quantity=50.
4. Submit.</t>
        </is>
      </c>
      <c r="H13" s="16" t="inlineStr">
        <is>
          <t>Product with prior movements.</t>
        </is>
      </c>
      <c r="I13" s="16" t="inlineStr">
        <is>
          <t>Backend rejects (400/409). Inline error from errors[] array. On-hand unchanged.</t>
        </is>
      </c>
      <c r="J13" s="16" t="inlineStr">
        <is>
          <t>/admin/stock | POST /api/v1/stock/opening-balances</t>
        </is>
      </c>
      <c r="K13" s="16" t="inlineStr">
        <is>
          <t>STOCK.OPENING</t>
        </is>
      </c>
      <c r="L13" s="16" t="inlineStr"/>
      <c r="M13" s="17" t="inlineStr">
        <is>
          <t>Not Run</t>
        </is>
      </c>
      <c r="N13" s="17" t="inlineStr"/>
      <c r="O13" s="16" t="inlineStr"/>
      <c r="P13" s="16" t="inlineStr"/>
      <c r="Q13" s="16" t="inlineStr"/>
    </row>
    <row r="14">
      <c r="A14" s="18" t="inlineStr">
        <is>
          <t>INV-012</t>
        </is>
      </c>
      <c r="B14" s="19" t="inlineStr">
        <is>
          <t>Stock On-Hand</t>
        </is>
      </c>
      <c r="C14" s="19" t="inlineStr">
        <is>
          <t>Set reorder level then clear it</t>
        </is>
      </c>
      <c r="D14" s="8" t="inlineStr">
        <is>
          <t>Positive</t>
        </is>
      </c>
      <c r="E14" s="8" t="inlineStr">
        <is>
          <t>Medium</t>
        </is>
      </c>
      <c r="F14" s="19" t="inlineStr">
        <is>
          <t>User has STOCK.ADJUST. An on-hand row exists.</t>
        </is>
      </c>
      <c r="G14" s="19" t="inlineStr">
        <is>
          <t>1. Click reorder-level edit on a row; enter 5; save.
2. Confirm the low flag is set if quantity&lt;=5.
3. Edit again; clear the field; save.</t>
        </is>
      </c>
      <c r="H14" s="19" t="inlineStr">
        <is>
          <t>reorderLevel: 5, then blank/null.</t>
        </is>
      </c>
      <c r="I14" s="19" t="inlineStr">
        <is>
          <t>Returns updated StockOnHandDto. After setting 5, low=true when quantity&lt;=5. After clearing, low=false. uid only in URL path.</t>
        </is>
      </c>
      <c r="J14" s="19" t="inlineStr">
        <is>
          <t>/admin/stock | PUT /api/v1/stock/on-hand/uid/{uid}/reorder-level</t>
        </is>
      </c>
      <c r="K14" s="19" t="inlineStr">
        <is>
          <t>STOCK.ADJUST</t>
        </is>
      </c>
      <c r="L14" s="19" t="inlineStr"/>
      <c r="M14" s="8" t="inlineStr">
        <is>
          <t>Not Run</t>
        </is>
      </c>
      <c r="N14" s="8" t="inlineStr"/>
      <c r="O14" s="19" t="inlineStr"/>
      <c r="P14" s="19" t="inlineStr"/>
      <c r="Q14" s="19" t="inlineStr"/>
    </row>
    <row r="15">
      <c r="A15" s="15" t="inlineStr">
        <is>
          <t>INV-020</t>
        </is>
      </c>
      <c r="B15" s="16" t="inlineStr">
        <is>
          <t>Stock Locations</t>
        </is>
      </c>
      <c r="C15" s="16" t="inlineStr">
        <is>
          <t>Create stock location for each LocationType</t>
        </is>
      </c>
      <c r="D15" s="17" t="inlineStr">
        <is>
          <t>Positive</t>
        </is>
      </c>
      <c r="E15" s="17" t="inlineStr">
        <is>
          <t>High</t>
        </is>
      </c>
      <c r="F15" s="16" t="inlineStr">
        <is>
          <t>User has STOCK.LOCATION.MANAGE. At least one branch exists.</t>
        </is>
      </c>
      <c r="G15" s="16" t="inlineStr">
        <is>
          <t>1. Open /admin/stock/locations; click Create.
2. Enter code=WH-01, name=Main Warehouse, locationType=WAREHOUSE, pick branch by name.
3. Submit.
4. Repeat for STORE, VAN, QUARANTINE, OTHER.</t>
        </is>
      </c>
      <c r="H15" s="16" t="inlineStr">
        <is>
          <t>Types: WAREHOUSE, STORE, VAN, QUARANTINE, OTHER.</t>
        </is>
      </c>
      <c r="I15" s="16" t="inlineStr">
        <is>
          <t>HTTP 201 for each. StockLocationDto with status=ACTIVE and isDefault=false. Branch chosen by name via picker; code/name stored server-side.</t>
        </is>
      </c>
      <c r="J15" s="16" t="inlineStr">
        <is>
          <t>/admin/stock/locations | POST /api/v1/stock-locations</t>
        </is>
      </c>
      <c r="K15" s="16" t="inlineStr">
        <is>
          <t>STOCK.LOCATION.MANAGE</t>
        </is>
      </c>
      <c r="L15" s="16" t="inlineStr"/>
      <c r="M15" s="17" t="inlineStr">
        <is>
          <t>Not Run</t>
        </is>
      </c>
      <c r="N15" s="17" t="inlineStr"/>
      <c r="O15" s="16" t="inlineStr"/>
      <c r="P15" s="16" t="inlineStr"/>
      <c r="Q15" s="16" t="inlineStr"/>
    </row>
    <row r="16">
      <c r="A16" s="18" t="inlineStr">
        <is>
          <t>INV-021</t>
        </is>
      </c>
      <c r="B16" s="19" t="inlineStr">
        <is>
          <t>Stock Locations</t>
        </is>
      </c>
      <c r="C16" s="19" t="inlineStr">
        <is>
          <t>Create location with makeDefault=true clears previous default</t>
        </is>
      </c>
      <c r="D16" s="8" t="inlineStr">
        <is>
          <t>Positive</t>
        </is>
      </c>
      <c r="E16" s="8" t="inlineStr">
        <is>
          <t>Medium</t>
        </is>
      </c>
      <c r="F16" s="19" t="inlineStr">
        <is>
          <t>User has STOCK.LOCATION.MANAGE. A branch already has a default location L1.</t>
        </is>
      </c>
      <c r="G16" s="19" t="inlineStr">
        <is>
          <t>1. Create a new location L2 with the Make default checkbox ticked.
2. Reload the locations list.</t>
        </is>
      </c>
      <c r="H16" s="19" t="inlineStr">
        <is>
          <t>Branch with existing default L1.</t>
        </is>
      </c>
      <c r="I16" s="19" t="inlineStr">
        <is>
          <t>L2 isDefault=true. L1 isDefault=false. Only one location per branch carries isDefault=true.</t>
        </is>
      </c>
      <c r="J16" s="19" t="inlineStr">
        <is>
          <t>/admin/stock/locations | POST /api/v1/stock-locations</t>
        </is>
      </c>
      <c r="K16" s="19" t="inlineStr">
        <is>
          <t>STOCK.LOCATION.MANAGE</t>
        </is>
      </c>
      <c r="L16" s="19" t="inlineStr"/>
      <c r="M16" s="8" t="inlineStr">
        <is>
          <t>Not Run</t>
        </is>
      </c>
      <c r="N16" s="8" t="inlineStr"/>
      <c r="O16" s="19" t="inlineStr"/>
      <c r="P16" s="19" t="inlineStr"/>
      <c r="Q16" s="19" t="inlineStr"/>
    </row>
    <row r="17">
      <c r="A17" s="15" t="inlineStr">
        <is>
          <t>INV-022</t>
        </is>
      </c>
      <c r="B17" s="16" t="inlineStr">
        <is>
          <t>Stock Locations</t>
        </is>
      </c>
      <c r="C17" s="16" t="inlineStr">
        <is>
          <t>Deactivate then reactivate a stock location</t>
        </is>
      </c>
      <c r="D17" s="17" t="inlineStr">
        <is>
          <t>Positive</t>
        </is>
      </c>
      <c r="E17" s="17" t="inlineStr">
        <is>
          <t>High</t>
        </is>
      </c>
      <c r="F17" s="16" t="inlineStr">
        <is>
          <t>User has STOCK.LOCATION.MANAGE. An ACTIVE non-default location exists.</t>
        </is>
      </c>
      <c r="G17" s="16" t="inlineStr">
        <is>
          <t>1. On the location row click Deactivate; confirm.
2. Verify row shows INACTIVE.
3. Click Reactivate.
4. Verify row returns to ACTIVE.</t>
        </is>
      </c>
      <c r="H17" s="16" t="inlineStr">
        <is>
          <t>An ACTIVE non-default location.</t>
        </is>
      </c>
      <c r="I17" s="16" t="inlineStr">
        <is>
          <t>Status transitions ACTIVE &gt; INACTIVE &gt; ACTIVE. No hard deletion occurs (soft lifecycle). HTTP 204 on deactivate.</t>
        </is>
      </c>
      <c r="J17" s="16" t="inlineStr">
        <is>
          <t>/admin/stock/locations | DELETE /api/v1/stock-locations/uid/{uid} | PATCH .../reactivate</t>
        </is>
      </c>
      <c r="K17" s="16" t="inlineStr">
        <is>
          <t>STOCK.LOCATION.MANAGE</t>
        </is>
      </c>
      <c r="L17" s="16" t="inlineStr"/>
      <c r="M17" s="17" t="inlineStr">
        <is>
          <t>Not Run</t>
        </is>
      </c>
      <c r="N17" s="17" t="inlineStr"/>
      <c r="O17" s="16" t="inlineStr"/>
      <c r="P17" s="16" t="inlineStr"/>
      <c r="Q17" s="16" t="inlineStr"/>
    </row>
    <row r="18">
      <c r="A18" s="18" t="inlineStr">
        <is>
          <t>INV-023</t>
        </is>
      </c>
      <c r="B18" s="19" t="inlineStr">
        <is>
          <t>Stock Locations</t>
        </is>
      </c>
      <c r="C18" s="19" t="inlineStr">
        <is>
          <t>STOCK.LOCATION.VIEW-only user cannot create or edit locations</t>
        </is>
      </c>
      <c r="D18" s="8" t="inlineStr">
        <is>
          <t>Permission</t>
        </is>
      </c>
      <c r="E18" s="8" t="inlineStr">
        <is>
          <t>High</t>
        </is>
      </c>
      <c r="F18" s="19" t="inlineStr">
        <is>
          <t>A user with STOCK.LOCATION.VIEW only.</t>
        </is>
      </c>
      <c r="G18" s="19" t="inlineStr">
        <is>
          <t>1. Login as the restricted user.
2. Open /admin/stock/locations.
3. Observe Create and Edit actions.</t>
        </is>
      </c>
      <c r="H18" s="19" t="inlineStr">
        <is>
          <t>User with STOCK.LOCATION.VIEW only.</t>
        </is>
      </c>
      <c r="I18" s="19" t="inlineStr">
        <is>
          <t>List renders. Create button and row edit controls are hidden. Direct POST returns 403.</t>
        </is>
      </c>
      <c r="J18" s="19" t="inlineStr">
        <is>
          <t>/admin/stock/locations</t>
        </is>
      </c>
      <c r="K18" s="19" t="inlineStr">
        <is>
          <t>STOCK.LOCATION.VIEW (lacking STOCK.LOCATION.MANAGE)</t>
        </is>
      </c>
      <c r="L18" s="19" t="inlineStr"/>
      <c r="M18" s="8" t="inlineStr">
        <is>
          <t>Not Run</t>
        </is>
      </c>
      <c r="N18" s="8" t="inlineStr"/>
      <c r="O18" s="19" t="inlineStr"/>
      <c r="P18" s="19" t="inlineStr"/>
      <c r="Q18" s="19" t="inlineStr"/>
    </row>
    <row r="19">
      <c r="A19" s="15" t="inlineStr">
        <is>
          <t>INV-030</t>
        </is>
      </c>
      <c r="B19" s="16" t="inlineStr">
        <is>
          <t>Stock Transfers</t>
        </is>
      </c>
      <c r="C19" s="16" t="inlineStr">
        <is>
          <t>Create IN_TRANSIT cross-branch transfer with two lines</t>
        </is>
      </c>
      <c r="D19" s="17" t="inlineStr">
        <is>
          <t>Positive</t>
        </is>
      </c>
      <c r="E19" s="17" t="inlineStr">
        <is>
          <t>High</t>
        </is>
      </c>
      <c r="F19" s="16" t="inlineStr">
        <is>
          <t>User has STOCK.TRANSFER.CREATE. At least 2 branches, each with an active location and stock.</t>
        </is>
      </c>
      <c r="G19" s="16" t="inlineStr">
        <is>
          <t>1. Navigate to /admin/stock-transfers/create.
2. Pick source branch and location by name via pickers.
3. Pick destination branch and location by name.
4. Set transferDate; transferMode = IN_TRANSIT.
5. Add line 1: product by name, qty=5.
6. Add line 2: product by name, qty=2.
7. Submit.</t>
        </is>
      </c>
      <c r="H19" s="16" t="inlineStr">
        <is>
          <t>transferDate: 2026-06-14. Line 1 qty: 5. Line 2 qty: 2.</t>
        </is>
      </c>
      <c r="I19" s="16" t="inlineStr">
        <is>
          <t>HTTP 201. StockTransferDto with status=DRAFT and transferMode=IN_TRANSIT. transferNumber assigned. All source/dest/product selected by name only.</t>
        </is>
      </c>
      <c r="J19" s="16" t="inlineStr">
        <is>
          <t>/admin/stock-transfers/create | POST /api/v1/stock-transfers</t>
        </is>
      </c>
      <c r="K19" s="16" t="inlineStr">
        <is>
          <t>STOCK.TRANSFER.CREATE</t>
        </is>
      </c>
      <c r="L19" s="16" t="inlineStr"/>
      <c r="M19" s="17" t="inlineStr">
        <is>
          <t>Not Run</t>
        </is>
      </c>
      <c r="N19" s="17" t="inlineStr"/>
      <c r="O19" s="16" t="inlineStr"/>
      <c r="P19" s="16" t="inlineStr"/>
      <c r="Q19" s="16" t="inlineStr"/>
    </row>
    <row r="20">
      <c r="A20" s="18" t="inlineStr">
        <is>
          <t>INV-031</t>
        </is>
      </c>
      <c r="B20" s="19" t="inlineStr">
        <is>
          <t>Stock Transfers</t>
        </is>
      </c>
      <c r="C20" s="19" t="inlineStr">
        <is>
          <t>IN_TRANSIT transfer: DRAFT &gt; DISPATCHED &gt; RECEIVED full lifecycle</t>
        </is>
      </c>
      <c r="D20" s="8" t="inlineStr">
        <is>
          <t>Positive</t>
        </is>
      </c>
      <c r="E20" s="8" t="inlineStr">
        <is>
          <t>High</t>
        </is>
      </c>
      <c r="F20" s="19" t="inlineStr">
        <is>
          <t>Dispatch user has STOCK.TRANSFER.CREATE. Receive user has STOCK.TRANSFER.RECEIVE. A DRAFT IN_TRANSIT transfer exists.</t>
        </is>
      </c>
      <c r="G20" s="19" t="inlineStr">
        <is>
          <t>1. On the DRAFT IN_TRANSIT transfer detail, click Dispatch (as CREATE holder).
2. Verify status = DISPATCHED and dispatchedAt is set. Source stock decreases.
3. As the RECEIVE-holder, click Receive.
4. Verify status = RECEIVED and receivedAt is set. Destination stock increases.</t>
        </is>
      </c>
      <c r="H20" s="19" t="inlineStr">
        <is>
          <t>DRAFT IN_TRANSIT transfer from INV-030.</t>
        </is>
      </c>
      <c r="I20" s="19" t="inlineStr">
        <is>
          <t>Status transitions: DRAFT &gt; DISPATCHED &gt; RECEIVED. Stock moves between locations via TRANSFER_OUT and TRANSFER_IN events. Movements are appended, not edited.</t>
        </is>
      </c>
      <c r="J20" s="19" t="inlineStr">
        <is>
          <t>/admin/stock-transfers/uid/:uid | PATCH .../dispatch | PATCH .../receive</t>
        </is>
      </c>
      <c r="K20" s="19" t="inlineStr">
        <is>
          <t>STOCK.TRANSFER.CREATE (dispatch) + STOCK.TRANSFER.RECEIVE (receive)</t>
        </is>
      </c>
      <c r="L20" s="19" t="inlineStr"/>
      <c r="M20" s="8" t="inlineStr">
        <is>
          <t>Not Run</t>
        </is>
      </c>
      <c r="N20" s="8" t="inlineStr"/>
      <c r="O20" s="19" t="inlineStr"/>
      <c r="P20" s="19" t="inlineStr"/>
      <c r="Q20" s="19" t="inlineStr"/>
    </row>
    <row r="21">
      <c r="A21" s="15" t="inlineStr">
        <is>
          <t>INV-032</t>
        </is>
      </c>
      <c r="B21" s="16" t="inlineStr">
        <is>
          <t>Stock Transfers</t>
        </is>
      </c>
      <c r="C21" s="16" t="inlineStr">
        <is>
          <t>INSTANT same-branch transfer completes in one step DRAFT &gt; COMPLETED</t>
        </is>
      </c>
      <c r="D21" s="17" t="inlineStr">
        <is>
          <t>Positive</t>
        </is>
      </c>
      <c r="E21" s="17" t="inlineStr">
        <is>
          <t>High</t>
        </is>
      </c>
      <c r="F21" s="16" t="inlineStr">
        <is>
          <t>User has STOCK.TRANSFER.CREATE. Two active locations in the SAME branch with source stock.</t>
        </is>
      </c>
      <c r="G21" s="16" t="inlineStr">
        <is>
          <t>1. Create a transfer with both locations in the same branch; transferMode = INSTANT.
2. On the DRAFT+INSTANT detail, click Complete instant.</t>
        </is>
      </c>
      <c r="H21" s="16" t="inlineStr">
        <is>
          <t>Same-branch transfer. transferMode: INSTANT.</t>
        </is>
      </c>
      <c r="I21" s="16" t="inlineStr">
        <is>
          <t>Status transitions from DRAFT to COMPLETED in one transaction. Stock moves immediately between locations with no in-transit state.</t>
        </is>
      </c>
      <c r="J21" s="16" t="inlineStr">
        <is>
          <t>/admin/stock-transfers/uid/:uid | PATCH /api/v1/stock-transfers/uid/{uid}/complete-instant</t>
        </is>
      </c>
      <c r="K21" s="16" t="inlineStr">
        <is>
          <t>STOCK.TRANSFER.CREATE</t>
        </is>
      </c>
      <c r="L21" s="16" t="inlineStr"/>
      <c r="M21" s="17" t="inlineStr">
        <is>
          <t>Not Run</t>
        </is>
      </c>
      <c r="N21" s="17" t="inlineStr"/>
      <c r="O21" s="16" t="inlineStr"/>
      <c r="P21" s="16" t="inlineStr"/>
      <c r="Q21" s="16" t="inlineStr"/>
    </row>
    <row r="22">
      <c r="A22" s="18" t="inlineStr">
        <is>
          <t>INV-033</t>
        </is>
      </c>
      <c r="B22" s="19" t="inlineStr">
        <is>
          <t>Stock Transfers</t>
        </is>
      </c>
      <c r="C22" s="19" t="inlineStr">
        <is>
          <t>Cancel a DRAFT transfer — no stock movement</t>
        </is>
      </c>
      <c r="D22" s="8" t="inlineStr">
        <is>
          <t>Positive</t>
        </is>
      </c>
      <c r="E22" s="8" t="inlineStr">
        <is>
          <t>Medium</t>
        </is>
      </c>
      <c r="F22" s="19" t="inlineStr">
        <is>
          <t>User has STOCK.TRANSFER.CREATE. A DRAFT transfer exists.</t>
        </is>
      </c>
      <c r="G22" s="19" t="inlineStr">
        <is>
          <t>1. Open the DRAFT transfer detail.
2. Click Cancel; confirm.</t>
        </is>
      </c>
      <c r="H22" s="19" t="inlineStr">
        <is>
          <t>DRAFT transfer.</t>
        </is>
      </c>
      <c r="I22" s="19" t="inlineStr">
        <is>
          <t>Status changes to CANCELLED. No stock movement occurred. HTTP 204.</t>
        </is>
      </c>
      <c r="J22" s="19" t="inlineStr">
        <is>
          <t>/admin/stock-transfers/uid/:uid | DELETE /api/v1/stock-transfers/uid/{uid}</t>
        </is>
      </c>
      <c r="K22" s="19" t="inlineStr">
        <is>
          <t>STOCK.TRANSFER.CREATE</t>
        </is>
      </c>
      <c r="L22" s="19" t="inlineStr"/>
      <c r="M22" s="8" t="inlineStr">
        <is>
          <t>Not Run</t>
        </is>
      </c>
      <c r="N22" s="8" t="inlineStr"/>
      <c r="O22" s="19" t="inlineStr"/>
      <c r="P22" s="19" t="inlineStr"/>
      <c r="Q22" s="19" t="inlineStr"/>
    </row>
    <row r="23">
      <c r="A23" s="15" t="inlineStr">
        <is>
          <t>INV-034</t>
        </is>
      </c>
      <c r="B23" s="16" t="inlineStr">
        <is>
          <t>Stock Transfers</t>
        </is>
      </c>
      <c r="C23" s="16" t="inlineStr">
        <is>
          <t>Illegal transfer transitions are rejected</t>
        </is>
      </c>
      <c r="D23" s="17" t="inlineStr">
        <is>
          <t>Negative</t>
        </is>
      </c>
      <c r="E23" s="17" t="inlineStr">
        <is>
          <t>High</t>
        </is>
      </c>
      <c r="F23" s="16" t="inlineStr">
        <is>
          <t>User has relevant transfer permissions.</t>
        </is>
      </c>
      <c r="G23" s="16" t="inlineStr">
        <is>
          <t>1. Attempt to receive a DRAFT (not dispatched) IN_TRANSIT transfer.
2. Attempt to dispatch an already-DISPATCHED transfer.
3. Attempt to complete-instant a DISPATCHED transfer.
4. Attempt to cancel a RECEIVED transfer.
5. Attempt to dispatch an INSTANT-mode transfer.</t>
        </is>
      </c>
      <c r="H23" s="16" t="inlineStr">
        <is>
          <t>Transfers in various states and modes.</t>
        </is>
      </c>
      <c r="I23" s="16" t="inlineStr">
        <is>
          <t>Each attempt is rejected with 400/409. Status does not change. FE never offers the invalid action button for the wrong state or mode.</t>
        </is>
      </c>
      <c r="J23" s="16" t="inlineStr">
        <is>
          <t>/api/v1/stock-transfers/uid/{uid}/dispatch | /receive | /complete-instant</t>
        </is>
      </c>
      <c r="K23" s="16" t="inlineStr">
        <is>
          <t>STOCK.TRANSFER.CREATE + STOCK.TRANSFER.RECEIVE</t>
        </is>
      </c>
      <c r="L23" s="16" t="inlineStr"/>
      <c r="M23" s="17" t="inlineStr">
        <is>
          <t>Not Run</t>
        </is>
      </c>
      <c r="N23" s="17" t="inlineStr"/>
      <c r="O23" s="16" t="inlineStr"/>
      <c r="P23" s="16" t="inlineStr"/>
      <c r="Q23" s="16" t="inlineStr"/>
    </row>
    <row r="24">
      <c r="A24" s="18" t="inlineStr">
        <is>
          <t>INV-035</t>
        </is>
      </c>
      <c r="B24" s="19" t="inlineStr">
        <is>
          <t>Stock Transfers</t>
        </is>
      </c>
      <c r="C24" s="19" t="inlineStr">
        <is>
          <t>STOCK.TRANSFER.VIEW-only user cannot create a transfer</t>
        </is>
      </c>
      <c r="D24" s="8" t="inlineStr">
        <is>
          <t>Permission</t>
        </is>
      </c>
      <c r="E24" s="8" t="inlineStr">
        <is>
          <t>Medium</t>
        </is>
      </c>
      <c r="F24" s="19" t="inlineStr">
        <is>
          <t>A user with STOCK.TRANSFER.VIEW only.</t>
        </is>
      </c>
      <c r="G24" s="19" t="inlineStr">
        <is>
          <t>1. Login as the VIEW-only user.
2. Navigate to /admin/stock-transfers.
3. Attempt to navigate to /admin/stock-transfers/create.</t>
        </is>
      </c>
      <c r="H24" s="19" t="inlineStr">
        <is>
          <t>VIEW-only user.</t>
        </is>
      </c>
      <c r="I24" s="19" t="inlineStr">
        <is>
          <t>List renders. Route guard blocks /create. Direct POST returns 403.</t>
        </is>
      </c>
      <c r="J24" s="19" t="inlineStr">
        <is>
          <t>/admin/stock-transfers/create</t>
        </is>
      </c>
      <c r="K24" s="19" t="inlineStr">
        <is>
          <t>STOCK.TRANSFER.VIEW (lacking STOCK.TRANSFER.CREATE)</t>
        </is>
      </c>
      <c r="L24" s="19" t="inlineStr"/>
      <c r="M24" s="8" t="inlineStr">
        <is>
          <t>Not Run</t>
        </is>
      </c>
      <c r="N24" s="8" t="inlineStr"/>
      <c r="O24" s="19" t="inlineStr"/>
      <c r="P24" s="19" t="inlineStr"/>
      <c r="Q24" s="19" t="inlineStr"/>
    </row>
    <row r="25">
      <c r="A25" s="15" t="inlineStr">
        <is>
          <t>INV-040</t>
        </is>
      </c>
      <c r="B25" s="16" t="inlineStr">
        <is>
          <t>Stock Counts</t>
        </is>
      </c>
      <c r="C25" s="16" t="inlineStr">
        <is>
          <t>Create FULL count — snapshots systemQty, enters COUNTING</t>
        </is>
      </c>
      <c r="D25" s="17" t="inlineStr">
        <is>
          <t>Positive</t>
        </is>
      </c>
      <c r="E25" s="17" t="inlineStr">
        <is>
          <t>High</t>
        </is>
      </c>
      <c r="F25" s="16" t="inlineStr">
        <is>
          <t>User has STOCK.COUNT.CREATE. An active location with on-hand across several GOODS products exists.</t>
        </is>
      </c>
      <c r="G25" s="16" t="inlineStr">
        <is>
          <t>1. Navigate to /admin/stock-counts/create.
2. Select company, branch; pick location by name via uid picker.
3. countDate = today; countType = FULL.
4. Submit.</t>
        </is>
      </c>
      <c r="H25" s="16" t="inlineStr">
        <is>
          <t>countDate: 2026-06-14. countType: FULL.</t>
        </is>
      </c>
      <c r="I25" s="16" t="inlineStr">
        <is>
          <t>HTTP 201. StockCountDto with status=COUNTING. frozenAt set. countNumber assigned. One line per on-hand product with systemQty snapshot.</t>
        </is>
      </c>
      <c r="J25" s="16" t="inlineStr">
        <is>
          <t>/admin/stock-counts/create | POST /api/v1/stock-counts</t>
        </is>
      </c>
      <c r="K25" s="16" t="inlineStr">
        <is>
          <t>STOCK.COUNT.CREATE</t>
        </is>
      </c>
      <c r="L25" s="16" t="inlineStr"/>
      <c r="M25" s="17" t="inlineStr">
        <is>
          <t>Not Run</t>
        </is>
      </c>
      <c r="N25" s="17" t="inlineStr"/>
      <c r="O25" s="16" t="inlineStr"/>
      <c r="P25" s="16" t="inlineStr"/>
      <c r="Q25" s="16" t="inlineStr"/>
    </row>
    <row r="26">
      <c r="A26" s="18" t="inlineStr">
        <is>
          <t>INV-041</t>
        </is>
      </c>
      <c r="B26" s="19" t="inlineStr">
        <is>
          <t>Stock Counts</t>
        </is>
      </c>
      <c r="C26" s="19" t="inlineStr">
        <is>
          <t>Enter counted quantities and observe variance</t>
        </is>
      </c>
      <c r="D26" s="8" t="inlineStr">
        <is>
          <t>Positive</t>
        </is>
      </c>
      <c r="E26" s="8" t="inlineStr">
        <is>
          <t>High</t>
        </is>
      </c>
      <c r="F26" s="19" t="inlineStr">
        <is>
          <t>User has STOCK.COUNT.CREATE. A COUNTING count exists.</t>
        </is>
      </c>
      <c r="G26" s="19" t="inlineStr">
        <is>
          <t>1. Open the count detail.
2. Line A: type countedQty=12 (system=10, variance=+2).
3. Line B: type countedQty=7 (system=9, variance=-2), reason=SHRINKAGE.
4. Click Enter / Save.</t>
        </is>
      </c>
      <c r="H26" s="19" t="inlineStr">
        <is>
          <t>Line A: counted=12, system=10. Line B: counted=7, system=9, reason=SHRINKAGE.</t>
        </is>
      </c>
      <c r="I26" s="19" t="inlineStr">
        <is>
          <t>Lines persist countedQty. varianceQty = countedQty - systemQty shown with directional colour. Document stays COUNTING.</t>
        </is>
      </c>
      <c r="J26" s="19" t="inlineStr">
        <is>
          <t>/admin/stock-counts/uid/:uid | PATCH /api/v1/stock-counts/uid/{uid}/enter</t>
        </is>
      </c>
      <c r="K26" s="19" t="inlineStr">
        <is>
          <t>STOCK.COUNT.CREATE</t>
        </is>
      </c>
      <c r="L26" s="19" t="inlineStr"/>
      <c r="M26" s="8" t="inlineStr">
        <is>
          <t>Not Run</t>
        </is>
      </c>
      <c r="N26" s="8" t="inlineStr"/>
      <c r="O26" s="19" t="inlineStr"/>
      <c r="P26" s="19" t="inlineStr"/>
      <c r="Q26" s="19" t="inlineStr"/>
    </row>
    <row r="27">
      <c r="A27" s="15" t="inlineStr">
        <is>
          <t>INV-042</t>
        </is>
      </c>
      <c r="B27" s="16" t="inlineStr">
        <is>
          <t>Stock Counts</t>
        </is>
      </c>
      <c r="C27" s="16" t="inlineStr">
        <is>
          <t>Post a count — creates ADJUSTMENT movements and GL variance journal</t>
        </is>
      </c>
      <c r="D27" s="17" t="inlineStr">
        <is>
          <t>Positive</t>
        </is>
      </c>
      <c r="E27" s="17" t="inlineStr">
        <is>
          <t>High</t>
        </is>
      </c>
      <c r="F27" s="16" t="inlineStr">
        <is>
          <t>User has STOCK.COUNT.POST. A COUNTING count with at least one variance exists.</t>
        </is>
      </c>
      <c r="G27" s="16" t="inlineStr">
        <is>
          <t>1. On the count detail, click Post.
2. Supply postingDate = 2026-06-14.
3. Confirm.</t>
        </is>
      </c>
      <c r="H27" s="16" t="inlineStr">
        <is>
          <t>postingDate: 2026-06-14.</t>
        </is>
      </c>
      <c r="I27" s="16" t="inlineStr">
        <is>
          <t>Status changes to COUNTING &gt; POSTED. postedAt set. Per varying line, a movementUid (ADJUSTMENT movement) and varianceValue assigned. One varianceGlEntryUid on the document. POSTED state is read-only.</t>
        </is>
      </c>
      <c r="J27" s="16" t="inlineStr">
        <is>
          <t>/admin/stock-counts/uid/:uid | PATCH /api/v1/stock-counts/uid/{uid}/post</t>
        </is>
      </c>
      <c r="K27" s="16" t="inlineStr">
        <is>
          <t>STOCK.COUNT.POST</t>
        </is>
      </c>
      <c r="L27" s="16" t="inlineStr"/>
      <c r="M27" s="17" t="inlineStr">
        <is>
          <t>Not Run</t>
        </is>
      </c>
      <c r="N27" s="17" t="inlineStr"/>
      <c r="O27" s="16" t="inlineStr"/>
      <c r="P27" s="16" t="inlineStr"/>
      <c r="Q27" s="16" t="inlineStr"/>
    </row>
    <row r="28">
      <c r="A28" s="18" t="inlineStr">
        <is>
          <t>INV-043</t>
        </is>
      </c>
      <c r="B28" s="19" t="inlineStr">
        <is>
          <t>Stock Counts</t>
        </is>
      </c>
      <c r="C28" s="19" t="inlineStr">
        <is>
          <t>COUNT.CREATE-only user cannot post a count</t>
        </is>
      </c>
      <c r="D28" s="8" t="inlineStr">
        <is>
          <t>Permission</t>
        </is>
      </c>
      <c r="E28" s="8" t="inlineStr">
        <is>
          <t>High</t>
        </is>
      </c>
      <c r="F28" s="19" t="inlineStr">
        <is>
          <t>A user with STOCK.COUNT.CREATE but not STOCK.COUNT.POST. A COUNTING count with variances exists.</t>
        </is>
      </c>
      <c r="G28" s="19" t="inlineStr">
        <is>
          <t>1. Login as the restricted user.
2. Open the COUNTING count detail.
3. Observe the Post button.</t>
        </is>
      </c>
      <c r="H28" s="19" t="inlineStr">
        <is>
          <t>COUNTING count with variances.</t>
        </is>
      </c>
      <c r="I28" s="19" t="inlineStr">
        <is>
          <t>Post button is hidden. Direct PATCH to post endpoint returns HTTP 403.</t>
        </is>
      </c>
      <c r="J28" s="19" t="inlineStr">
        <is>
          <t>/admin/stock-counts/uid/:uid</t>
        </is>
      </c>
      <c r="K28" s="19" t="inlineStr">
        <is>
          <t>STOCK.COUNT.CREATE (lacking STOCK.COUNT.POST)</t>
        </is>
      </c>
      <c r="L28" s="19" t="inlineStr"/>
      <c r="M28" s="8" t="inlineStr">
        <is>
          <t>Not Run</t>
        </is>
      </c>
      <c r="N28" s="8" t="inlineStr"/>
      <c r="O28" s="19" t="inlineStr"/>
      <c r="P28" s="19" t="inlineStr"/>
      <c r="Q28" s="19" t="inlineStr"/>
    </row>
    <row r="29">
      <c r="A29" s="15" t="inlineStr">
        <is>
          <t>INV-044</t>
        </is>
      </c>
      <c r="B29" s="16" t="inlineStr">
        <is>
          <t>Stock Counts</t>
        </is>
      </c>
      <c r="C29" s="16" t="inlineStr">
        <is>
          <t>Cancel a COUNTING count — no GL posted</t>
        </is>
      </c>
      <c r="D29" s="17" t="inlineStr">
        <is>
          <t>Positive</t>
        </is>
      </c>
      <c r="E29" s="17" t="inlineStr">
        <is>
          <t>Medium</t>
        </is>
      </c>
      <c r="F29" s="16" t="inlineStr">
        <is>
          <t>User has STOCK.COUNT.CREATE. A COUNTING count exists.</t>
        </is>
      </c>
      <c r="G29" s="16" t="inlineStr">
        <is>
          <t>1. Open the COUNTING count detail.
2. Click Cancel; confirm.</t>
        </is>
      </c>
      <c r="H29" s="16" t="inlineStr">
        <is>
          <t>COUNTING count.</t>
        </is>
      </c>
      <c r="I29" s="16" t="inlineStr">
        <is>
          <t>Status changes to CANCELLED. No GL entries or stock movements posted. HTTP 204.</t>
        </is>
      </c>
      <c r="J29" s="16" t="inlineStr">
        <is>
          <t>/admin/stock-counts/uid/:uid | DELETE /api/v1/stock-counts/uid/{uid}</t>
        </is>
      </c>
      <c r="K29" s="16" t="inlineStr">
        <is>
          <t>STOCK.COUNT.CREATE</t>
        </is>
      </c>
      <c r="L29" s="16" t="inlineStr"/>
      <c r="M29" s="17" t="inlineStr">
        <is>
          <t>Not Run</t>
        </is>
      </c>
      <c r="N29" s="17" t="inlineStr"/>
      <c r="O29" s="16" t="inlineStr"/>
      <c r="P29" s="16" t="inlineStr"/>
      <c r="Q29" s="16" t="inlineStr"/>
    </row>
    <row r="30">
      <c r="A30" s="18" t="inlineStr">
        <is>
          <t>INV-045</t>
        </is>
      </c>
      <c r="B30" s="19" t="inlineStr">
        <is>
          <t>Stock Counts</t>
        </is>
      </c>
      <c r="C30" s="19" t="inlineStr">
        <is>
          <t>Illegal count transitions are rejected — re-post, cancel-after-post, enter-after-post</t>
        </is>
      </c>
      <c r="D30" s="8" t="inlineStr">
        <is>
          <t>Negative</t>
        </is>
      </c>
      <c r="E30" s="8" t="inlineStr">
        <is>
          <t>High</t>
        </is>
      </c>
      <c r="F30" s="19" t="inlineStr">
        <is>
          <t>A POSTED count and a CANCELLED count exist.</t>
        </is>
      </c>
      <c r="G30" s="19" t="inlineStr">
        <is>
          <t>1. Attempt to post an already-POSTED count.
2. Attempt to enter quantities on a POSTED count.
3. Attempt to cancel a POSTED count.
4. Attempt to post a CANCELLED count.</t>
        </is>
      </c>
      <c r="H30" s="19" t="inlineStr">
        <is>
          <t>POSTED count, CANCELLED count.</t>
        </is>
      </c>
      <c r="I30" s="19" t="inlineStr">
        <is>
          <t>Each attempt returns 400/409. FE shows read-only (no action buttons) for POSTED and CANCELLED states.</t>
        </is>
      </c>
      <c r="J30" s="19" t="inlineStr">
        <is>
          <t>/api/v1/stock-counts/uid/{uid}/post | /enter</t>
        </is>
      </c>
      <c r="K30" s="19" t="inlineStr">
        <is>
          <t>STOCK.COUNT.CREATE + STOCK.COUNT.POST</t>
        </is>
      </c>
      <c r="L30" s="19" t="inlineStr"/>
      <c r="M30" s="8" t="inlineStr">
        <is>
          <t>Not Run</t>
        </is>
      </c>
      <c r="N30" s="8" t="inlineStr"/>
      <c r="O30" s="19" t="inlineStr"/>
      <c r="P30" s="19" t="inlineStr"/>
      <c r="Q30" s="19" t="inlineStr"/>
    </row>
    <row r="31">
      <c r="A31" s="15" t="inlineStr">
        <is>
          <t>INV-050</t>
        </is>
      </c>
      <c r="B31" s="16" t="inlineStr">
        <is>
          <t>Stock Batches</t>
        </is>
      </c>
      <c r="C31" s="16" t="inlineStr">
        <is>
          <t>Batch list by location and product (rootadmin only — STOCK.BATCH.VIEW not seeded)</t>
        </is>
      </c>
      <c r="D31" s="17" t="inlineStr">
        <is>
          <t>Positive</t>
        </is>
      </c>
      <c r="E31" s="17" t="inlineStr">
        <is>
          <t>High</t>
        </is>
      </c>
      <c r="F31" s="16" t="inlineStr">
        <is>
          <t>Run as rootadmin. STOCK.BATCH.VIEW is not seeded (V41 seeds INVENTORY.BATCH.VIEW; controller gates on STOCK.BATCH.VIEW). Batch records exist for a lot-tracked product.</t>
        </is>
      </c>
      <c r="G31" s="16" t="inlineStr">
        <is>
          <t>1. Navigate to /admin/stock/batches.
2. Pick location by name via picker.
3. Pick product by name.
4. Observe batch rows.</t>
        </is>
      </c>
      <c r="H31" s="16" t="inlineStr">
        <is>
          <t>lotNumber: LOT-2026-A. expiryDate: near future.</t>
        </is>
      </c>
      <c r="I31" s="16" t="inlineStr">
        <is>
          <t>StockBatchDto rows paged showing lotNumber, manufactureDate, expiryDate, qtyOnHand, expired flag. Product and location selected by name only.</t>
        </is>
      </c>
      <c r="J31" s="16" t="inlineStr">
        <is>
          <t>/admin/stock/batches | GET /api/v1/stock-batches</t>
        </is>
      </c>
      <c r="K31" s="16" t="inlineStr">
        <is>
          <t>STOCK.BATCH.VIEW (NOT seeded — rootadmin only; see DEFECT INV-901)</t>
        </is>
      </c>
      <c r="L31" s="16" t="inlineStr"/>
      <c r="M31" s="17" t="inlineStr">
        <is>
          <t>Not Run</t>
        </is>
      </c>
      <c r="N31" s="17" t="inlineStr"/>
      <c r="O31" s="16" t="inlineStr"/>
      <c r="P31" s="16" t="inlineStr"/>
      <c r="Q31" s="16" t="inlineStr"/>
    </row>
    <row r="32">
      <c r="A32" s="18" t="inlineStr">
        <is>
          <t>INV-051</t>
        </is>
      </c>
      <c r="B32" s="19" t="inlineStr">
        <is>
          <t>Stock Batches</t>
        </is>
      </c>
      <c r="C32" s="19" t="inlineStr">
        <is>
          <t>Expiring batches report with horizon date</t>
        </is>
      </c>
      <c r="D32" s="8" t="inlineStr">
        <is>
          <t>Positive</t>
        </is>
      </c>
      <c r="E32" s="8" t="inlineStr">
        <is>
          <t>High</t>
        </is>
      </c>
      <c r="F32" s="19" t="inlineStr">
        <is>
          <t>User has INVENTORY.EXPIRY.VIEW. Batches with qty&gt;0 expiring before and after a horizon date exist.</t>
        </is>
      </c>
      <c r="G32" s="19" t="inlineStr">
        <is>
          <t>1. Open /admin/stock/batches; switch to Expiring Soon.
2. Default horizon = today+30; confirm batches expiring on or before the horizon (qty&gt;0) are listed.
3. Change horizon date; confirm result set changes.</t>
        </is>
      </c>
      <c r="H32" s="19" t="inlineStr">
        <is>
          <t>horizon: 2026-07-14.</t>
        </is>
      </c>
      <c r="I32" s="19" t="inlineStr">
        <is>
          <t>Paged StockBatchDto expiring set. Already-expired rows flagged red. Near-expiry warned. Horizon change triggers a new filtered result.</t>
        </is>
      </c>
      <c r="J32" s="19" t="inlineStr">
        <is>
          <t>/admin/stock/batches | GET /api/v1/stock-batches/expiring</t>
        </is>
      </c>
      <c r="K32" s="19" t="inlineStr">
        <is>
          <t>INVENTORY.EXPIRY.VIEW</t>
        </is>
      </c>
      <c r="L32" s="19" t="inlineStr"/>
      <c r="M32" s="8" t="inlineStr">
        <is>
          <t>Not Run</t>
        </is>
      </c>
      <c r="N32" s="8" t="inlineStr"/>
      <c r="O32" s="19" t="inlineStr"/>
      <c r="P32" s="19" t="inlineStr"/>
      <c r="Q32" s="19" t="inlineStr"/>
    </row>
    <row r="33">
      <c r="A33" s="15" t="inlineStr">
        <is>
          <t>INV-052</t>
        </is>
      </c>
      <c r="B33" s="16" t="inlineStr">
        <is>
          <t>Stock Batches</t>
        </is>
      </c>
      <c r="C33" s="16" t="inlineStr">
        <is>
          <t>DEFECT: ORG_ADMIN denied batch/serial access due to permission code mismatch</t>
        </is>
      </c>
      <c r="D33" s="17" t="inlineStr">
        <is>
          <t>Negative</t>
        </is>
      </c>
      <c r="E33" s="17" t="inlineStr">
        <is>
          <t>High</t>
        </is>
      </c>
      <c r="F33" s="16" t="inlineStr">
        <is>
          <t>ORG_ADMIN role (granted INVENTORY.BATCH.VIEW via V41). Non-superuser.</t>
        </is>
      </c>
      <c r="G33" s="16" t="inlineStr">
        <is>
          <t>1. Login as ORG_ADMIN.
2. Navigate to /admin/stock/batches and /admin/stock/serials.
3. Observe nav items and page behaviour.
4. As rootadmin, navigate to the same screens.</t>
        </is>
      </c>
      <c r="H33" s="16" t="inlineStr">
        <is>
          <t>ORG_ADMIN user vs rootadmin.</t>
        </is>
      </c>
      <c r="I33" s="16" t="inlineStr">
        <is>
          <t>ORG_ADMIN: nav items for Batches and Serials are hidden (nav checks STOCK.BATCH.VIEW which is not granted). Direct API calls return 403. rootadmin: screens load successfully (superuser bypass). This is a known defect: V41 seeds INVENTORY.BATCH.VIEW; controllers gate on STOCK.BATCH.VIEW.</t>
        </is>
      </c>
      <c r="J33" s="16" t="inlineStr">
        <is>
          <t>/admin/stock/batches | /admin/stock/serials</t>
        </is>
      </c>
      <c r="K33" s="16" t="inlineStr">
        <is>
          <t>STOCK.BATCH.VIEW / STOCK.SERIAL.VIEW (NOT seeded)</t>
        </is>
      </c>
      <c r="L33" s="16" t="inlineStr"/>
      <c r="M33" s="17" t="inlineStr">
        <is>
          <t>Not Run</t>
        </is>
      </c>
      <c r="N33" s="17" t="inlineStr"/>
      <c r="O33" s="16" t="inlineStr"/>
      <c r="P33" s="16" t="inlineStr"/>
      <c r="Q33" s="16" t="inlineStr"/>
    </row>
    <row r="34">
      <c r="A34" s="18" t="inlineStr">
        <is>
          <t>INV-060</t>
        </is>
      </c>
      <c r="B34" s="19" t="inlineStr">
        <is>
          <t>Stock Serials</t>
        </is>
      </c>
      <c r="C34" s="19" t="inlineStr">
        <is>
          <t>Serial list by location and product with status filter (rootadmin only)</t>
        </is>
      </c>
      <c r="D34" s="8" t="inlineStr">
        <is>
          <t>Positive</t>
        </is>
      </c>
      <c r="E34" s="8" t="inlineStr">
        <is>
          <t>High</t>
        </is>
      </c>
      <c r="F34" s="19" t="inlineStr">
        <is>
          <t>Run as rootadmin. Serial-tracked product with serials in each status (IN_STOCK, ISSUED, RETURNED) at a location.</t>
        </is>
      </c>
      <c r="G34" s="19" t="inlineStr">
        <is>
          <t>1. Navigate to /admin/stock/serials (By Location mode).
2. Pick location and product via pickers.
3. Leave status blank — all serials shown.
4. Set status = IN_STOCK; observe filter.
5. Repeat for ISSUED and RETURNED.</t>
        </is>
      </c>
      <c r="H34" s="19" t="inlineStr">
        <is>
          <t>serialNumber: SN-0001.</t>
        </is>
      </c>
      <c r="I34" s="19" t="inlineStr">
        <is>
          <t>StockSerialDto rows with serialNumber, serialStatus badge, location. Status filter narrows correctly for each value.</t>
        </is>
      </c>
      <c r="J34" s="19" t="inlineStr">
        <is>
          <t>/admin/stock/serials | GET /api/v1/stock-serials</t>
        </is>
      </c>
      <c r="K34" s="19" t="inlineStr">
        <is>
          <t>STOCK.SERIAL.VIEW (NOT seeded — rootadmin only)</t>
        </is>
      </c>
      <c r="L34" s="19" t="inlineStr"/>
      <c r="M34" s="8" t="inlineStr">
        <is>
          <t>Not Run</t>
        </is>
      </c>
      <c r="N34" s="8" t="inlineStr"/>
      <c r="O34" s="19" t="inlineStr"/>
      <c r="P34" s="19" t="inlineStr"/>
      <c r="Q34" s="19" t="inlineStr"/>
    </row>
    <row r="35">
      <c r="A35" s="15" t="inlineStr">
        <is>
          <t>INV-061</t>
        </is>
      </c>
      <c r="B35" s="16" t="inlineStr">
        <is>
          <t>Stock Serials</t>
        </is>
      </c>
      <c r="C35" s="16" t="inlineStr">
        <is>
          <t>Serial lookup by serial number — found and not-found states</t>
        </is>
      </c>
      <c r="D35" s="17" t="inlineStr">
        <is>
          <t>Positive</t>
        </is>
      </c>
      <c r="E35" s="17" t="inlineStr">
        <is>
          <t>Medium</t>
        </is>
      </c>
      <c r="F35" s="16" t="inlineStr">
        <is>
          <t>Run as rootadmin. Serial SN-0001 exists for a known product.</t>
        </is>
      </c>
      <c r="G35" s="16" t="inlineStr">
        <is>
          <t>1. In /admin/stock/serials pick the product; type SN-0001; click Look up.
2. Confirm the matched serial card shows current status/location.
3. Look up SN-XXXX (non-existent).</t>
        </is>
      </c>
      <c r="H35" s="16" t="inlineStr">
        <is>
          <t>Known serial: SN-0001. Unknown serial: SN-XXXX.</t>
        </is>
      </c>
      <c r="I35" s="16" t="inlineStr">
        <is>
          <t>Found: single StockSerialDto displayed. Not found: 404 mapped to a distinct not-found UI state (separate from loading/error/forbidden).</t>
        </is>
      </c>
      <c r="J35" s="16" t="inlineStr">
        <is>
          <t>/admin/stock/serials | GET /api/v1/stock-serials/lookup</t>
        </is>
      </c>
      <c r="K35" s="16" t="inlineStr">
        <is>
          <t>STOCK.SERIAL.VIEW (NOT seeded — rootadmin only)</t>
        </is>
      </c>
      <c r="L35" s="16" t="inlineStr"/>
      <c r="M35" s="17" t="inlineStr">
        <is>
          <t>Not Run</t>
        </is>
      </c>
      <c r="N35" s="17" t="inlineStr"/>
      <c r="O35" s="16" t="inlineStr"/>
      <c r="P35" s="16" t="inlineStr"/>
      <c r="Q35" s="16" t="inlineStr"/>
    </row>
    <row r="36">
      <c r="A36" s="18" t="inlineStr">
        <is>
          <t>INV-070</t>
        </is>
      </c>
      <c r="B36" s="19" t="inlineStr">
        <is>
          <t>Inventory Valuation</t>
        </is>
      </c>
      <c r="C36" s="19" t="inlineStr">
        <is>
          <t>Valuation report renders rows, total, and GL reconciliation — ties=true</t>
        </is>
      </c>
      <c r="D36" s="8" t="inlineStr">
        <is>
          <t>Positive</t>
        </is>
      </c>
      <c r="E36" s="8" t="inlineStr">
        <is>
          <t>High</t>
        </is>
      </c>
      <c r="F36" s="19" t="inlineStr">
        <is>
          <t>User has INVENTORY.VALUATION.VIEW. Valued on-hand rows exist whose total equals the GL 1300 Inventory balance.</t>
        </is>
      </c>
      <c r="G36" s="19" t="inlineStr">
        <is>
          <t>1. Navigate to /admin/stock/valuation.
2. Confirm per-product rows (code/name, quantity, avgCost, inventory value).
3. Confirm the reconciliation bar shows GREEN Reconciled to GL when ties=true.</t>
        </is>
      </c>
      <c r="H36" s="19" t="inlineStr">
        <is>
          <t>Total value: 5,000,000.00 TZS.</t>
        </is>
      </c>
      <c r="I36" s="19" t="inlineStr">
        <is>
          <t>StockValuationReportDto with rows, totalValue, recon {label, computed, expected, difference, ties=true}, currency. Money formatted as CUR 1,234.56.</t>
        </is>
      </c>
      <c r="J36" s="19" t="inlineStr">
        <is>
          <t>/admin/stock/valuation | GET /api/v1/stock/valuation/report</t>
        </is>
      </c>
      <c r="K36" s="19" t="inlineStr">
        <is>
          <t>INVENTORY.VALUATION.VIEW</t>
        </is>
      </c>
      <c r="L36" s="19" t="inlineStr"/>
      <c r="M36" s="8" t="inlineStr">
        <is>
          <t>Not Run</t>
        </is>
      </c>
      <c r="N36" s="8" t="inlineStr"/>
      <c r="O36" s="19" t="inlineStr"/>
      <c r="P36" s="19" t="inlineStr"/>
      <c r="Q36" s="19" t="inlineStr"/>
    </row>
    <row r="37">
      <c r="A37" s="15" t="inlineStr">
        <is>
          <t>INV-071</t>
        </is>
      </c>
      <c r="B37" s="16" t="inlineStr">
        <is>
          <t>Inventory Valuation</t>
        </is>
      </c>
      <c r="C37" s="16" t="inlineStr">
        <is>
          <t>Valuation recon mismatch (ties=false) shows finance alarm</t>
        </is>
      </c>
      <c r="D37" s="17" t="inlineStr">
        <is>
          <t>Negative</t>
        </is>
      </c>
      <c r="E37" s="17" t="inlineStr">
        <is>
          <t>High</t>
        </is>
      </c>
      <c r="F37" s="16" t="inlineStr">
        <is>
          <t>User has INVENTORY.VALUATION.VIEW. Stock-ledger vs GL drift created so Σ on_hand_value ≠ GL 1300.</t>
        </is>
      </c>
      <c r="G37" s="16" t="inlineStr">
        <is>
          <t>1. Open /admin/stock/valuation.
2. Inspect the reconciliation bar.</t>
        </is>
      </c>
      <c r="H37" s="16" t="inlineStr">
        <is>
          <t>Forced GL drift scenario.</t>
        </is>
      </c>
      <c r="I37" s="16" t="inlineStr">
        <is>
          <t>ties=false. RED finance-grade alarm shown. difference = computed - expected displayed. Mismatch is surfaced prominently, not hidden.</t>
        </is>
      </c>
      <c r="J37" s="16" t="inlineStr">
        <is>
          <t>/admin/stock/valuation | GET /api/v1/stock/valuation/report</t>
        </is>
      </c>
      <c r="K37" s="16" t="inlineStr">
        <is>
          <t>INVENTORY.VALUATION.VIEW</t>
        </is>
      </c>
      <c r="L37" s="16" t="inlineStr"/>
      <c r="M37" s="17" t="inlineStr">
        <is>
          <t>Not Run</t>
        </is>
      </c>
      <c r="N37" s="17" t="inlineStr"/>
      <c r="O37" s="16" t="inlineStr"/>
      <c r="P37" s="16" t="inlineStr"/>
      <c r="Q37" s="16" t="inlineStr"/>
    </row>
    <row r="38">
      <c r="A38" s="18" t="inlineStr">
        <is>
          <t>INV-072</t>
        </is>
      </c>
      <c r="B38" s="19" t="inlineStr">
        <is>
          <t>Inventory Valuation</t>
        </is>
      </c>
      <c r="C38" s="19" t="inlineStr">
        <is>
          <t>Set opening valuation for an unvalued on-hand row</t>
        </is>
      </c>
      <c r="D38" s="8" t="inlineStr">
        <is>
          <t>Positive</t>
        </is>
      </c>
      <c r="E38" s="8" t="inlineStr">
        <is>
          <t>High</t>
        </is>
      </c>
      <c r="F38" s="19" t="inlineStr">
        <is>
          <t>User has INVENTORY.OPENING.SET. An on-hand row with quantity&gt;0 but avgCost=null exists (unvalued).</t>
        </is>
      </c>
      <c r="G38" s="19" t="inlineStr">
        <is>
          <t>1. Navigate to /admin/stock/valuation/opening.
2. Select the unvalued row by product label.
3. Enter openingCost=12.50.
4. Submit.</t>
        </is>
      </c>
      <c r="H38" s="19" t="inlineStr">
        <is>
          <t>openingCost: 12.50. quantity: 100 (openingValue: 1250.00).</t>
        </is>
      </c>
      <c r="I38" s="19" t="inlineStr">
        <is>
          <t>HTTP 201. OpeningValuationResultDto (openingValue + currency). GL posts DR INVENTORY (1300) / CR OPENING_BALANCE_EQUITY (3100). Row disappears from the unvalued list.</t>
        </is>
      </c>
      <c r="J38" s="19" t="inlineStr">
        <is>
          <t>/admin/stock/valuation/opening | POST /api/v1/stock/valuation/opening</t>
        </is>
      </c>
      <c r="K38" s="19" t="inlineStr">
        <is>
          <t>INVENTORY.OPENING.SET</t>
        </is>
      </c>
      <c r="L38" s="19" t="inlineStr"/>
      <c r="M38" s="8" t="inlineStr">
        <is>
          <t>Not Run</t>
        </is>
      </c>
      <c r="N38" s="8" t="inlineStr"/>
      <c r="O38" s="19" t="inlineStr"/>
      <c r="P38" s="19" t="inlineStr"/>
      <c r="Q38" s="19" t="inlineStr"/>
    </row>
    <row r="39">
      <c r="A39" s="15" t="inlineStr">
        <is>
          <t>INV-073</t>
        </is>
      </c>
      <c r="B39" s="16" t="inlineStr">
        <is>
          <t>Inventory Valuation</t>
        </is>
      </c>
      <c r="C39" s="16" t="inlineStr">
        <is>
          <t>Setting opening valuation on an already-valued row is rejected</t>
        </is>
      </c>
      <c r="D39" s="17" t="inlineStr">
        <is>
          <t>Negative</t>
        </is>
      </c>
      <c r="E39" s="17" t="inlineStr">
        <is>
          <t>Medium</t>
        </is>
      </c>
      <c r="F39" s="16" t="inlineStr">
        <is>
          <t>User has INVENTORY.OPENING.SET. An on-hand row already valued (avgCost set).</t>
        </is>
      </c>
      <c r="G39" s="16" t="inlineStr">
        <is>
          <t>1. Attempt to set opening valuation on the already-valued row via direct API call or stale list.</t>
        </is>
      </c>
      <c r="H39" s="16" t="inlineStr">
        <is>
          <t>Already-valued on-hand row.</t>
        </is>
      </c>
      <c r="I39" s="16" t="inlineStr">
        <is>
          <t>Backend returns 409. FE shows: already has an opening valuation set (one-time per on-hand row). on-hand value unchanged.</t>
        </is>
      </c>
      <c r="J39" s="16" t="inlineStr">
        <is>
          <t>POST /api/v1/stock/valuation/opening</t>
        </is>
      </c>
      <c r="K39" s="16" t="inlineStr">
        <is>
          <t>INVENTORY.OPENING.SET</t>
        </is>
      </c>
      <c r="L39" s="16" t="inlineStr"/>
      <c r="M39" s="17" t="inlineStr">
        <is>
          <t>Not Run</t>
        </is>
      </c>
      <c r="N39" s="17" t="inlineStr"/>
      <c r="O39" s="16" t="inlineStr"/>
      <c r="P39" s="16" t="inlineStr"/>
      <c r="Q39" s="16" t="inlineStr"/>
    </row>
    <row r="40">
      <c r="A40" s="18" t="inlineStr">
        <is>
          <t>INV-074</t>
        </is>
      </c>
      <c r="B40" s="19" t="inlineStr">
        <is>
          <t>Inventory Valuation</t>
        </is>
      </c>
      <c r="C40" s="19" t="inlineStr">
        <is>
          <t>INVENTORY.VALUATION.VIEW-lacking user cannot see the valuation report</t>
        </is>
      </c>
      <c r="D40" s="8" t="inlineStr">
        <is>
          <t>Permission</t>
        </is>
      </c>
      <c r="E40" s="8" t="inlineStr">
        <is>
          <t>High</t>
        </is>
      </c>
      <c r="F40" s="19" t="inlineStr">
        <is>
          <t>A user without INVENTORY.VALUATION.VIEW.</t>
        </is>
      </c>
      <c r="G40" s="19" t="inlineStr">
        <is>
          <t>1. Login as the restricted user.
2. Navigate to /admin/stock/valuation.</t>
        </is>
      </c>
      <c r="H40" s="19" t="inlineStr">
        <is>
          <t>User without INVENTORY.VALUATION.VIEW.</t>
        </is>
      </c>
      <c r="I40" s="19" t="inlineStr">
        <is>
          <t>Component canView=false; no fetch triggered. Backend GET returns 403. Nav item hidden.</t>
        </is>
      </c>
      <c r="J40" s="19" t="inlineStr">
        <is>
          <t>/admin/stock/valuation</t>
        </is>
      </c>
      <c r="K40" s="19" t="inlineStr">
        <is>
          <t>None (INVENTORY.VALUATION.VIEW missing)</t>
        </is>
      </c>
      <c r="L40" s="19" t="inlineStr"/>
      <c r="M40" s="8" t="inlineStr">
        <is>
          <t>Not Run</t>
        </is>
      </c>
      <c r="N40" s="8" t="inlineStr"/>
      <c r="O40" s="19" t="inlineStr"/>
      <c r="P40" s="19" t="inlineStr"/>
      <c r="Q40" s="19" t="inlineStr"/>
    </row>
    <row r="41">
      <c r="A41" s="15" t="inlineStr">
        <is>
          <t>INV-080</t>
        </is>
      </c>
      <c r="B41" s="16" t="inlineStr">
        <is>
          <t>Multi-tenancy</t>
        </is>
      </c>
      <c r="C41" s="16" t="inlineStr">
        <is>
          <t>Cross-tenant stock data is inaccessible</t>
        </is>
      </c>
      <c r="D41" s="17" t="inlineStr">
        <is>
          <t>Permission</t>
        </is>
      </c>
      <c r="E41" s="17" t="inlineStr">
        <is>
          <t>High</t>
        </is>
      </c>
      <c r="F41" s="16" t="inlineStr">
        <is>
          <t>Full inventory perms in Tenant B. Data in Tenant A and Tenant B.</t>
        </is>
      </c>
      <c r="G41" s="16" t="inlineStr">
        <is>
          <t>1. Login as Tenant B user.
2. Attempt to read Tenant A on-hand, locations, transfers, counts, batches by deep-link uid.
3. Attempt to view Tenant A valuation report.</t>
        </is>
      </c>
      <c r="H41" s="16" t="inlineStr">
        <is>
          <t>Tenant A uids for various resources.</t>
        </is>
      </c>
      <c r="I41" s="16" t="inlineStr">
        <is>
          <t>Tenant A uids return 403 or 404 scoped to Tenant B. Valuation report scoped to Tenant B company via JWT principal. No Tenant A data leaks.</t>
        </is>
      </c>
      <c r="J41" s="16" t="inlineStr">
        <is>
          <t>All inventory list/detail endpoints</t>
        </is>
      </c>
      <c r="K41" s="16" t="inlineStr">
        <is>
          <t>Full inventory perms in Tenant B</t>
        </is>
      </c>
      <c r="L41" s="16" t="inlineStr"/>
      <c r="M41" s="17" t="inlineStr">
        <is>
          <t>Not Run</t>
        </is>
      </c>
      <c r="N41" s="17" t="inlineStr"/>
      <c r="O41" s="16" t="inlineStr"/>
      <c r="P41" s="16" t="inlineStr"/>
      <c r="Q41" s="16" t="inlineStr"/>
    </row>
    <row r="42">
      <c r="A42" s="18" t="inlineStr">
        <is>
          <t>INV-081</t>
        </is>
      </c>
      <c r="B42" s="19" t="inlineStr">
        <is>
          <t>Multi-tenancy</t>
        </is>
      </c>
      <c r="C42" s="19" t="inlineStr">
        <is>
          <t>Branch switching changes on-hand and count context</t>
        </is>
      </c>
      <c r="D42" s="8" t="inlineStr">
        <is>
          <t>Positive</t>
        </is>
      </c>
      <c r="E42" s="8" t="inlineStr">
        <is>
          <t>Medium</t>
        </is>
      </c>
      <c r="F42" s="19" t="inlineStr">
        <is>
          <t>User has STOCK.VIEW and STOCK.COUNT.VIEW. User assigned to many branches.</t>
        </is>
      </c>
      <c r="G42" s="19" t="inlineStr">
        <is>
          <t>1. On /admin/stock, switch the branch selector to a non-default branch.
2. Confirm on-hand reloads for that branch.
3. Repeat on counts.</t>
        </is>
      </c>
      <c r="H42" s="19" t="inlineStr">
        <is>
          <t>User assigned to multiple branches.</t>
        </is>
      </c>
      <c r="I42" s="19" t="inlineStr">
        <is>
          <t>Data follows the active branch. Default-branch and non-default-branch on-hand sets differ. User assigned to only one branch cannot switch to another (denied).</t>
        </is>
      </c>
      <c r="J42" s="19" t="inlineStr">
        <is>
          <t>/admin/stock | /admin/stock-counts</t>
        </is>
      </c>
      <c r="K42" s="19" t="inlineStr">
        <is>
          <t>STOCK.VIEW + STOCK.COUNT.VIEW</t>
        </is>
      </c>
      <c r="L42" s="19" t="inlineStr"/>
      <c r="M42" s="8" t="inlineStr">
        <is>
          <t>Not Run</t>
        </is>
      </c>
      <c r="N42" s="8" t="inlineStr"/>
      <c r="O42" s="19" t="inlineStr"/>
      <c r="P42" s="19" t="inlineStr"/>
      <c r="Q42" s="19" t="inlineStr"/>
    </row>
  </sheetData>
  <autoFilter ref="A2:Q42"/>
  <mergeCells count="1">
    <mergeCell ref="A1:Q1"/>
  </mergeCells>
  <dataValidations count="4">
    <dataValidation sqref="D3:D42" showDropDown="0" showInputMessage="0" showErrorMessage="0" allowBlank="1" type="list">
      <formula1>"Positive,Negative,Permission,Edge"</formula1>
    </dataValidation>
    <dataValidation sqref="E3:E42" showDropDown="0" showInputMessage="0" showErrorMessage="0" allowBlank="1" type="list">
      <formula1>"High,Medium,Low"</formula1>
    </dataValidation>
    <dataValidation sqref="M3:M42" showDropDown="0" showInputMessage="0" showErrorMessage="0" allowBlank="1" type="list">
      <formula1>"Not Run,Pass,Fail,Blocked,N/A"</formula1>
    </dataValidation>
    <dataValidation sqref="N3:N42" showDropDown="0" showInputMessage="0" showErrorMessage="0" allowBlank="1" type="list">
      <formula1>"-,Critical,High,Medium,Low"</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0"/>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Manufacturing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MFG-001</t>
        </is>
      </c>
      <c r="B3" s="16" t="inlineStr">
        <is>
          <t>BOM</t>
        </is>
      </c>
      <c r="C3" s="16" t="inlineStr">
        <is>
          <t>BOM list loads with company scope, status filter, and pagination</t>
        </is>
      </c>
      <c r="D3" s="17" t="inlineStr">
        <is>
          <t>Positive</t>
        </is>
      </c>
      <c r="E3" s="17" t="inlineStr">
        <is>
          <t>High</t>
        </is>
      </c>
      <c r="F3" s="16" t="inlineStr">
        <is>
          <t>User has BOM.VIEW. At least one BOM exists. BOMs in DRAFT, ACTIVE, and ARCHIVED statuses exist.</t>
        </is>
      </c>
      <c r="G3" s="16" t="inlineStr">
        <is>
          <t>1. Navigate to /admin/boms.
2. Confirm table renders BOM rows with parent product name/code, version, status badge, output qty, yield %.
3. Select status filter = Draft; confirm only DRAFT BOMs shown.
4. Select Active, then Archived, then All.
5. Page through with paginator.</t>
        </is>
      </c>
      <c r="H3" s="16" t="inlineStr">
        <is>
          <t>Company: Acme Manufacturing. BOMs in all three statuses.</t>
        </is>
      </c>
      <c r="I3" s="16" t="inlineStr">
        <is>
          <t>Each filter re-queries with status= param and shows only matching rows. Paginator shows all five controls. No uid visible in any column.</t>
        </is>
      </c>
      <c r="J3" s="16" t="inlineStr">
        <is>
          <t>/admin/boms | GET /api/v1/boms</t>
        </is>
      </c>
      <c r="K3" s="16" t="inlineStr">
        <is>
          <t>BOM.VIEW</t>
        </is>
      </c>
      <c r="L3" s="16" t="inlineStr"/>
      <c r="M3" s="17" t="inlineStr">
        <is>
          <t>Not Run</t>
        </is>
      </c>
      <c r="N3" s="17" t="inlineStr"/>
      <c r="O3" s="16" t="inlineStr"/>
      <c r="P3" s="16" t="inlineStr"/>
      <c r="Q3" s="16" t="inlineStr"/>
    </row>
    <row r="4">
      <c r="A4" s="18" t="inlineStr">
        <is>
          <t>MFG-002</t>
        </is>
      </c>
      <c r="B4" s="19" t="inlineStr">
        <is>
          <t>BOM</t>
        </is>
      </c>
      <c r="C4" s="19" t="inlineStr">
        <is>
          <t>Create BOM (DRAFT) via inline form using product picker</t>
        </is>
      </c>
      <c r="D4" s="8" t="inlineStr">
        <is>
          <t>Positive</t>
        </is>
      </c>
      <c r="E4" s="8" t="inlineStr">
        <is>
          <t>High</t>
        </is>
      </c>
      <c r="F4" s="19" t="inlineStr">
        <is>
          <t>User has BOM.MANAGE. An ACTIVE GOODS product exists in the company.</t>
        </is>
      </c>
      <c r="G4" s="19" t="inlineStr">
        <is>
          <t>1. On /admin/boms, click the create toggle.
2. In the parent product picker, search and select by name.
3. Enter outputQty=10, yieldPercent=95, notes=Pilot batch.
4. Submit.</t>
        </is>
      </c>
      <c r="H4" s="19" t="inlineStr">
        <is>
          <t>Product: Widget A. outputQty: 10. yieldPercent: 95.</t>
        </is>
      </c>
      <c r="I4" s="19" t="inlineStr">
        <is>
          <t>HTTP 201. New DRAFT row appears with versionNo. uid appears only in the success alert link, not in any visible cell. Parent product shown by name.</t>
        </is>
      </c>
      <c r="J4" s="19" t="inlineStr">
        <is>
          <t>/admin/boms | POST /api/v1/boms</t>
        </is>
      </c>
      <c r="K4" s="19" t="inlineStr">
        <is>
          <t>BOM.MANAGE</t>
        </is>
      </c>
      <c r="L4" s="19" t="inlineStr"/>
      <c r="M4" s="8" t="inlineStr">
        <is>
          <t>Not Run</t>
        </is>
      </c>
      <c r="N4" s="8" t="inlineStr"/>
      <c r="O4" s="19" t="inlineStr"/>
      <c r="P4" s="19" t="inlineStr"/>
      <c r="Q4" s="19" t="inlineStr"/>
    </row>
    <row r="5">
      <c r="A5" s="15" t="inlineStr">
        <is>
          <t>MFG-003</t>
        </is>
      </c>
      <c r="B5" s="16" t="inlineStr">
        <is>
          <t>BOM</t>
        </is>
      </c>
      <c r="C5" s="16" t="inlineStr">
        <is>
          <t>Add components to a DRAFT BOM — Auto, MAKE, and BUY sourcing</t>
        </is>
      </c>
      <c r="D5" s="17" t="inlineStr">
        <is>
          <t>Positive</t>
        </is>
      </c>
      <c r="E5" s="17" t="inlineStr">
        <is>
          <t>High</t>
        </is>
      </c>
      <c r="F5" s="16" t="inlineStr">
        <is>
          <t>User has BOM.MANAGE. A DRAFT BOM exists. Active component products exist.</t>
        </is>
      </c>
      <c r="G5" s="16" t="inlineStr">
        <is>
          <t>1. Open the DRAFT BOM detail; click Add component.
2. Select component product by name via picker.
3. Enter qtyPer=2, scrapPercent=5, reference=RES-1; sourcing=Auto.
4. Submit. Repeat with MAKE and BUY sourcing.</t>
        </is>
      </c>
      <c r="H5" s="16" t="inlineStr">
        <is>
          <t>qtyPer: 2. scrapPercent: 5. reference: RES-1. Sourcing: Auto, MAKE, BUY.</t>
        </is>
      </c>
      <c r="I5" s="16" t="inlineStr">
        <is>
          <t>HTTP 201 for each. Component line appended with line number, component code/name, qty per, sourcing, scrap %. With Auto sourcing, server derives MAKE if child has an ACTIVE BOM else BUY.</t>
        </is>
      </c>
      <c r="J5" s="16" t="inlineStr">
        <is>
          <t>/admin/boms/uid/:uid | POST /api/v1/boms/uid/{uid}/components</t>
        </is>
      </c>
      <c r="K5" s="16" t="inlineStr">
        <is>
          <t>BOM.MANAGE</t>
        </is>
      </c>
      <c r="L5" s="16" t="inlineStr"/>
      <c r="M5" s="17" t="inlineStr">
        <is>
          <t>Not Run</t>
        </is>
      </c>
      <c r="N5" s="17" t="inlineStr"/>
      <c r="O5" s="16" t="inlineStr"/>
      <c r="P5" s="16" t="inlineStr"/>
      <c r="Q5" s="16" t="inlineStr"/>
    </row>
    <row r="6">
      <c r="A6" s="18" t="inlineStr">
        <is>
          <t>MFG-004</t>
        </is>
      </c>
      <c r="B6" s="19" t="inlineStr">
        <is>
          <t>BOM</t>
        </is>
      </c>
      <c r="C6" s="19" t="inlineStr">
        <is>
          <t>Edit and remove BOM component on DRAFT BOM</t>
        </is>
      </c>
      <c r="D6" s="8" t="inlineStr">
        <is>
          <t>Positive</t>
        </is>
      </c>
      <c r="E6" s="8" t="inlineStr">
        <is>
          <t>Medium</t>
        </is>
      </c>
      <c r="F6" s="19" t="inlineStr">
        <is>
          <t>User has BOM.MANAGE. A DRAFT BOM with at least 2 components.</t>
        </is>
      </c>
      <c r="G6" s="19" t="inlineStr">
        <is>
          <t>1. Click edit on a component; change qtyPer=3.5, sourcing=BUY, scrapPercent=0; save.
2. Click remove on another component; confirm.</t>
        </is>
      </c>
      <c r="H6" s="19" t="inlineStr">
        <is>
          <t>qtyPer: 3.5. sourcing: BUY. scrapPercent: 0.</t>
        </is>
      </c>
      <c r="I6" s="19" t="inlineStr">
        <is>
          <t>Edit returns updated component (200). Remove returns 204 and line disappears. Only DRAFT BOMs allow structural changes (edit/remove hidden on ACTIVE BOMs in UI).</t>
        </is>
      </c>
      <c r="J6" s="19" t="inlineStr">
        <is>
          <t>/admin/boms/uid/:uid | PUT .../components/{componentUid} | DELETE .../components/{componentUid}</t>
        </is>
      </c>
      <c r="K6" s="19" t="inlineStr">
        <is>
          <t>BOM.MANAGE</t>
        </is>
      </c>
      <c r="L6" s="19" t="inlineStr"/>
      <c r="M6" s="8" t="inlineStr">
        <is>
          <t>Not Run</t>
        </is>
      </c>
      <c r="N6" s="8" t="inlineStr"/>
      <c r="O6" s="19" t="inlineStr"/>
      <c r="P6" s="19" t="inlineStr"/>
      <c r="Q6" s="19" t="inlineStr"/>
    </row>
    <row r="7">
      <c r="A7" s="15" t="inlineStr">
        <is>
          <t>MFG-005</t>
        </is>
      </c>
      <c r="B7" s="16" t="inlineStr">
        <is>
          <t>BOM</t>
        </is>
      </c>
      <c r="C7" s="16" t="inlineStr">
        <is>
          <t>Activate DRAFT BOM — transitions to ACTIVE with effective-from date</t>
        </is>
      </c>
      <c r="D7" s="17" t="inlineStr">
        <is>
          <t>Positive</t>
        </is>
      </c>
      <c r="E7" s="17" t="inlineStr">
        <is>
          <t>High</t>
        </is>
      </c>
      <c r="F7" s="16" t="inlineStr">
        <is>
          <t>User has BOM.MANAGE. A DRAFT BOM with at least one valid component exists. No prior ACTIVE version.</t>
        </is>
      </c>
      <c r="G7" s="16" t="inlineStr">
        <is>
          <t>1. Open the DRAFT BOM detail.
2. Click Activate.
3. Enter effectiveFrom = today.
4. Confirm.</t>
        </is>
      </c>
      <c r="H7" s="16" t="inlineStr">
        <is>
          <t>effectiveFrom: 2026-06-14.</t>
        </is>
      </c>
      <c r="I7" s="16" t="inlineStr">
        <is>
          <t>Status changes to ACTIVE. effectiveFrom set, effectiveTo null, activatedAt stamped. Success: BOM activated.</t>
        </is>
      </c>
      <c r="J7" s="16" t="inlineStr">
        <is>
          <t>/admin/boms/uid/:uid | POST /api/v1/boms/uid/{uid}/activate</t>
        </is>
      </c>
      <c r="K7" s="16" t="inlineStr">
        <is>
          <t>BOM.MANAGE</t>
        </is>
      </c>
      <c r="L7" s="16" t="inlineStr"/>
      <c r="M7" s="17" t="inlineStr">
        <is>
          <t>Not Run</t>
        </is>
      </c>
      <c r="N7" s="17" t="inlineStr"/>
      <c r="O7" s="16" t="inlineStr"/>
      <c r="P7" s="16" t="inlineStr"/>
      <c r="Q7" s="16" t="inlineStr"/>
    </row>
    <row r="8">
      <c r="A8" s="18" t="inlineStr">
        <is>
          <t>MFG-006</t>
        </is>
      </c>
      <c r="B8" s="19" t="inlineStr">
        <is>
          <t>BOM</t>
        </is>
      </c>
      <c r="C8" s="19" t="inlineStr">
        <is>
          <t>Activating a new version supersedes the prior ACTIVE BOM (one-active rule)</t>
        </is>
      </c>
      <c r="D8" s="8" t="inlineStr">
        <is>
          <t>Positive</t>
        </is>
      </c>
      <c r="E8" s="8" t="inlineStr">
        <is>
          <t>High</t>
        </is>
      </c>
      <c r="F8" s="19" t="inlineStr">
        <is>
          <t>User has BOM.MANAGE. Product has ACTIVE BOM v1 and DRAFT BOM v2 (same parent).</t>
        </is>
      </c>
      <c r="G8" s="19" t="inlineStr">
        <is>
          <t>1. Open DRAFT v2.
2. Click Activate with effectiveFrom = today.</t>
        </is>
      </c>
      <c r="H8" s="19" t="inlineStr">
        <is>
          <t>ACTIVE BOM v1, DRAFT BOM v2 for same parent product.</t>
        </is>
      </c>
      <c r="I8" s="19" t="inlineStr">
        <is>
          <t>v2 becomes ACTIVE (effectiveTo null). v1 atomically becomes ARCHIVED with effectiveTo = effectiveFrom and archivedAt stamped. Only one ACTIVE BOM remains for the parent. v1 is archived not deleted.</t>
        </is>
      </c>
      <c r="J8" s="19" t="inlineStr">
        <is>
          <t>/admin/boms/uid/:uid | POST /api/v1/boms/uid/{uid}/activate</t>
        </is>
      </c>
      <c r="K8" s="19" t="inlineStr">
        <is>
          <t>BOM.MANAGE</t>
        </is>
      </c>
      <c r="L8" s="19" t="inlineStr"/>
      <c r="M8" s="8" t="inlineStr">
        <is>
          <t>Not Run</t>
        </is>
      </c>
      <c r="N8" s="8" t="inlineStr"/>
      <c r="O8" s="19" t="inlineStr"/>
      <c r="P8" s="19" t="inlineStr"/>
      <c r="Q8" s="19" t="inlineStr"/>
    </row>
    <row r="9">
      <c r="A9" s="15" t="inlineStr">
        <is>
          <t>MFG-007</t>
        </is>
      </c>
      <c r="B9" s="16" t="inlineStr">
        <is>
          <t>BOM</t>
        </is>
      </c>
      <c r="C9" s="16" t="inlineStr">
        <is>
          <t>Archive a BOM — DRAFT or ACTIVE transitions to ARCHIVED</t>
        </is>
      </c>
      <c r="D9" s="17" t="inlineStr">
        <is>
          <t>Positive</t>
        </is>
      </c>
      <c r="E9" s="17" t="inlineStr">
        <is>
          <t>Medium</t>
        </is>
      </c>
      <c r="F9" s="16" t="inlineStr">
        <is>
          <t>User has BOM.MANAGE. An ACTIVE BOM and a DRAFT BOM exist.</t>
        </is>
      </c>
      <c r="G9" s="16" t="inlineStr">
        <is>
          <t>1. Open the ACTIVE BOM detail; click Archive; confirm.
2. Repeat for the DRAFT BOM.</t>
        </is>
      </c>
      <c r="H9" s="16" t="inlineStr">
        <is>
          <t>One ACTIVE BOM, one DRAFT BOM.</t>
        </is>
      </c>
      <c r="I9" s="16" t="inlineStr">
        <is>
          <t>Status changes to ARCHIVED. archivedAt stamped. Header and component edit controls disappear. ARCHIVED BOM is not hard-deleted.</t>
        </is>
      </c>
      <c r="J9" s="16" t="inlineStr">
        <is>
          <t>/admin/boms/uid/:uid | POST /api/v1/boms/uid/{uid}/archive</t>
        </is>
      </c>
      <c r="K9" s="16" t="inlineStr">
        <is>
          <t>BOM.MANAGE</t>
        </is>
      </c>
      <c r="L9" s="16" t="inlineStr"/>
      <c r="M9" s="17" t="inlineStr">
        <is>
          <t>Not Run</t>
        </is>
      </c>
      <c r="N9" s="17" t="inlineStr"/>
      <c r="O9" s="16" t="inlineStr"/>
      <c r="P9" s="16" t="inlineStr"/>
      <c r="Q9" s="16" t="inlineStr"/>
    </row>
    <row r="10">
      <c r="A10" s="18" t="inlineStr">
        <is>
          <t>MFG-008</t>
        </is>
      </c>
      <c r="B10" s="19" t="inlineStr">
        <is>
          <t>BOM</t>
        </is>
      </c>
      <c r="C10" s="19" t="inlineStr">
        <is>
          <t>Activate a BOM with no components is rejected</t>
        </is>
      </c>
      <c r="D10" s="8" t="inlineStr">
        <is>
          <t>Negative</t>
        </is>
      </c>
      <c r="E10" s="8" t="inlineStr">
        <is>
          <t>High</t>
        </is>
      </c>
      <c r="F10" s="19" t="inlineStr">
        <is>
          <t>User has BOM.MANAGE. A DRAFT BOM with zero components exists.</t>
        </is>
      </c>
      <c r="G10" s="19" t="inlineStr">
        <is>
          <t>1. Open the empty DRAFT BOM.
2. Click Activate; provide effectiveFrom date.</t>
        </is>
      </c>
      <c r="H10" s="19" t="inlineStr">
        <is>
          <t>DRAFT BOM with zero components.</t>
        </is>
      </c>
      <c r="I10" s="19" t="inlineStr">
        <is>
          <t>HTTP 400: Cannot activate a BOM with no components. Status stays DRAFT.</t>
        </is>
      </c>
      <c r="J10" s="19" t="inlineStr">
        <is>
          <t>/admin/boms/uid/:uid | POST /api/v1/boms/uid/{uid}/activate</t>
        </is>
      </c>
      <c r="K10" s="19" t="inlineStr">
        <is>
          <t>BOM.MANAGE</t>
        </is>
      </c>
      <c r="L10" s="19" t="inlineStr"/>
      <c r="M10" s="8" t="inlineStr">
        <is>
          <t>Not Run</t>
        </is>
      </c>
      <c r="N10" s="8" t="inlineStr"/>
      <c r="O10" s="19" t="inlineStr"/>
      <c r="P10" s="19" t="inlineStr"/>
      <c r="Q10" s="19" t="inlineStr"/>
    </row>
    <row r="11">
      <c r="A11" s="15" t="inlineStr">
        <is>
          <t>MFG-009</t>
        </is>
      </c>
      <c r="B11" s="16" t="inlineStr">
        <is>
          <t>BOM</t>
        </is>
      </c>
      <c r="C11" s="16" t="inlineStr">
        <is>
          <t>BOM.VIEW-only user cannot create, edit, or activate a BOM</t>
        </is>
      </c>
      <c r="D11" s="17" t="inlineStr">
        <is>
          <t>Permission</t>
        </is>
      </c>
      <c r="E11" s="17" t="inlineStr">
        <is>
          <t>High</t>
        </is>
      </c>
      <c r="F11" s="16" t="inlineStr">
        <is>
          <t>A CUSTOM role with BOM.VIEW only. A DRAFT BOM exists.</t>
        </is>
      </c>
      <c r="G11" s="16" t="inlineStr">
        <is>
          <t>1. Login as the VIEW-only user.
2. Navigate to /admin/boms.
3. Observe the create toggle and the Activate button on a DRAFT BOM detail.</t>
        </is>
      </c>
      <c r="H11" s="16" t="inlineStr">
        <is>
          <t>BOM.VIEW-only user.</t>
        </is>
      </c>
      <c r="I11" s="16" t="inlineStr">
        <is>
          <t>List renders. Create toggle is hidden (canManage() = false). On the detail, Activate, Add component, and Remove component buttons are hidden. Direct POST to create/activate returns 403.</t>
        </is>
      </c>
      <c r="J11" s="16" t="inlineStr">
        <is>
          <t>/admin/boms | /admin/boms/uid/:uid</t>
        </is>
      </c>
      <c r="K11" s="16" t="inlineStr">
        <is>
          <t>BOM.VIEW (lacking BOM.MANAGE)</t>
        </is>
      </c>
      <c r="L11" s="16" t="inlineStr"/>
      <c r="M11" s="17" t="inlineStr">
        <is>
          <t>Not Run</t>
        </is>
      </c>
      <c r="N11" s="17" t="inlineStr"/>
      <c r="O11" s="16" t="inlineStr"/>
      <c r="P11" s="16" t="inlineStr"/>
      <c r="Q11" s="16" t="inlineStr"/>
    </row>
    <row r="12">
      <c r="A12" s="18" t="inlineStr">
        <is>
          <t>MFG-010</t>
        </is>
      </c>
      <c r="B12" s="19" t="inlineStr">
        <is>
          <t>BOM</t>
        </is>
      </c>
      <c r="C12" s="19" t="inlineStr">
        <is>
          <t>BOM edit on ACTIVE BOM ignores structural fields (notes update only)</t>
        </is>
      </c>
      <c r="D12" s="8" t="inlineStr">
        <is>
          <t>Positive</t>
        </is>
      </c>
      <c r="E12" s="8" t="inlineStr">
        <is>
          <t>High</t>
        </is>
      </c>
      <c r="F12" s="19" t="inlineStr">
        <is>
          <t>User has BOM.MANAGE. An ACTIVE BOM exists.</t>
        </is>
      </c>
      <c r="G12" s="19" t="inlineStr">
        <is>
          <t>1. Open the ACTIVE BOM detail.
2. Edit notes and attempt to change outputQty.
3. Save.</t>
        </is>
      </c>
      <c r="H12" s="19" t="inlineStr">
        <is>
          <t>ACTIVE BOM. New notes. Attempted outputQty change.</t>
        </is>
      </c>
      <c r="I12" s="19" t="inlineStr">
        <is>
          <t>Notes updated. outputQty and yieldPercent are ignored on ACTIVE BOMs (service applies structural fields only when DRAFT per BR-BOM-03). UI gates structural fields behind isDraft().</t>
        </is>
      </c>
      <c r="J12" s="19" t="inlineStr">
        <is>
          <t>/admin/boms/uid/:uid | PUT /api/v1/boms/uid/{uid}</t>
        </is>
      </c>
      <c r="K12" s="19" t="inlineStr">
        <is>
          <t>BOM.MANAGE</t>
        </is>
      </c>
      <c r="L12" s="19" t="inlineStr"/>
      <c r="M12" s="8" t="inlineStr">
        <is>
          <t>Not Run</t>
        </is>
      </c>
      <c r="N12" s="8" t="inlineStr"/>
      <c r="O12" s="19" t="inlineStr"/>
      <c r="P12" s="19" t="inlineStr"/>
      <c r="Q12" s="19" t="inlineStr"/>
    </row>
    <row r="13">
      <c r="A13" s="15" t="inlineStr">
        <is>
          <t>MFG-011</t>
        </is>
      </c>
      <c r="B13" s="16" t="inlineStr">
        <is>
          <t>BOM</t>
        </is>
      </c>
      <c r="C13" s="16" t="inlineStr">
        <is>
          <t>Activate a BOM containing a structural cycle is rejected</t>
        </is>
      </c>
      <c r="D13" s="17" t="inlineStr">
        <is>
          <t>Negative</t>
        </is>
      </c>
      <c r="E13" s="17" t="inlineStr">
        <is>
          <t>Medium</t>
        </is>
      </c>
      <c r="F13" s="16" t="inlineStr">
        <is>
          <t>User has BOM.MANAGE. Product P has DRAFT BOM containing component Q; Q has ACTIVE BOM containing P.</t>
        </is>
      </c>
      <c r="G13" s="16" t="inlineStr">
        <is>
          <t>1. Attempt to activate P's DRAFT BOM (which would create a cycle).</t>
        </is>
      </c>
      <c r="H13" s="16" t="inlineStr">
        <is>
          <t>P &gt; Q &gt; P circular reference.</t>
        </is>
      </c>
      <c r="I13" s="16" t="inlineStr">
        <is>
          <t>BomCycleGuard.assertNoCycle rejects activation. HTTP 400 or appropriate error. P's BOM status stays DRAFT. No partial state change.</t>
        </is>
      </c>
      <c r="J13" s="16" t="inlineStr">
        <is>
          <t>/api/v1/boms/uid/{uid}/activate</t>
        </is>
      </c>
      <c r="K13" s="16" t="inlineStr">
        <is>
          <t>BOM.MANAGE</t>
        </is>
      </c>
      <c r="L13" s="16" t="inlineStr"/>
      <c r="M13" s="17" t="inlineStr">
        <is>
          <t>Not Run</t>
        </is>
      </c>
      <c r="N13" s="17" t="inlineStr"/>
      <c r="O13" s="16" t="inlineStr"/>
      <c r="P13" s="16" t="inlineStr"/>
      <c r="Q13" s="16" t="inlineStr"/>
    </row>
    <row r="14">
      <c r="A14" s="18" t="inlineStr">
        <is>
          <t>MFG-020</t>
        </is>
      </c>
      <c r="B14" s="19" t="inlineStr">
        <is>
          <t>Work Orders</t>
        </is>
      </c>
      <c r="C14" s="19" t="inlineStr">
        <is>
          <t>Work order list loads with status filter and pagination</t>
        </is>
      </c>
      <c r="D14" s="8" t="inlineStr">
        <is>
          <t>Positive</t>
        </is>
      </c>
      <c r="E14" s="8" t="inlineStr">
        <is>
          <t>High</t>
        </is>
      </c>
      <c r="F14" s="19" t="inlineStr">
        <is>
          <t>User has MANUFACTURING.VIEW. WOs in several statuses exist for the company.</t>
        </is>
      </c>
      <c r="G14" s="19" t="inlineStr">
        <is>
          <t>1. Navigate to /admin/work-orders.
2. Cycle the status filter: Planned, Released, In Progress, Completed, Closed, Cancelled, All.
3. Page through.</t>
        </is>
      </c>
      <c r="H14" s="19" t="inlineStr">
        <is>
          <t>WOs in all six statuses for one company.</t>
        </is>
      </c>
      <c r="I14" s="19" t="inlineStr">
        <is>
          <t>Each filter re-queries with ?status= param and shows matching rows. Rows show WO number, FG product code/name, planned qty, status badge. Paginator shows all five controls. No uid in any visible column.</t>
        </is>
      </c>
      <c r="J14" s="19" t="inlineStr">
        <is>
          <t>/admin/work-orders | GET /api/v1/work-orders</t>
        </is>
      </c>
      <c r="K14" s="19" t="inlineStr">
        <is>
          <t>MANUFACTURING.VIEW</t>
        </is>
      </c>
      <c r="L14" s="19" t="inlineStr"/>
      <c r="M14" s="8" t="inlineStr">
        <is>
          <t>Not Run</t>
        </is>
      </c>
      <c r="N14" s="8" t="inlineStr"/>
      <c r="O14" s="19" t="inlineStr"/>
      <c r="P14" s="19" t="inlineStr"/>
      <c r="Q14" s="19" t="inlineStr"/>
    </row>
    <row r="15">
      <c r="A15" s="15" t="inlineStr">
        <is>
          <t>MFG-021</t>
        </is>
      </c>
      <c r="B15" s="16" t="inlineStr">
        <is>
          <t>Work Orders</t>
        </is>
      </c>
      <c r="C15" s="16" t="inlineStr">
        <is>
          <t>Create work order via product and branch pickers</t>
        </is>
      </c>
      <c r="D15" s="17" t="inlineStr">
        <is>
          <t>Positive</t>
        </is>
      </c>
      <c r="E15" s="17" t="inlineStr">
        <is>
          <t>High</t>
        </is>
      </c>
      <c r="F15" s="16" t="inlineStr">
        <is>
          <t>User has WORKORDER.MANAGE. An ACTIVE GOODS product and at least one active branch exist in the company.</t>
        </is>
      </c>
      <c r="G15" s="16" t="inlineStr">
        <is>
          <t>1. On /admin/work-orders, open the create form.
2. Select finished product by name via picker.
3. Select branch by name via picker (non-default branch).
4. Enter plannedQty=100; optional plannedDate and notes.
5. Submit.</t>
        </is>
      </c>
      <c r="H15" s="16" t="inlineStr">
        <is>
          <t>plannedQty: 100. Branch: non-default. FG product: GOODS type.</t>
        </is>
      </c>
      <c r="I15" s="16" t="inlineStr">
        <is>
          <t>HTTP 201. Success: Work order created — {woNumber}. New row in PLANNED status. Body sent: {finishedProductUid, plannedQty:"100", branchUid}. companyId derived from JWT principal.</t>
        </is>
      </c>
      <c r="J15" s="16" t="inlineStr">
        <is>
          <t>/admin/work-orders | POST /api/v1/work-orders</t>
        </is>
      </c>
      <c r="K15" s="16" t="inlineStr">
        <is>
          <t>WORKORDER.MANAGE</t>
        </is>
      </c>
      <c r="L15" s="16" t="inlineStr"/>
      <c r="M15" s="17" t="inlineStr">
        <is>
          <t>Not Run</t>
        </is>
      </c>
      <c r="N15" s="17" t="inlineStr"/>
      <c r="O15" s="16" t="inlineStr"/>
      <c r="P15" s="16" t="inlineStr"/>
      <c r="Q15" s="16" t="inlineStr"/>
    </row>
    <row r="16">
      <c r="A16" s="18" t="inlineStr">
        <is>
          <t>MFG-022</t>
        </is>
      </c>
      <c r="B16" s="19" t="inlineStr">
        <is>
          <t>Work Orders</t>
        </is>
      </c>
      <c r="C16" s="19" t="inlineStr">
        <is>
          <t>Release work order — PLANNED to RELEASED using product's ACTIVE BOM</t>
        </is>
      </c>
      <c r="D16" s="8" t="inlineStr">
        <is>
          <t>Positive</t>
        </is>
      </c>
      <c r="E16" s="8" t="inlineStr">
        <is>
          <t>High</t>
        </is>
      </c>
      <c r="F16" s="19" t="inlineStr">
        <is>
          <t>User has WORKORDER.RELEASE. A PLANNED WO whose FG product has an ACTIVE BOM exists.</t>
        </is>
      </c>
      <c r="G16" s="19" t="inlineStr">
        <is>
          <t>1. Open the PLANNED WO detail.
2. Click Release (no BOM override needed).
3. Confirm.</t>
        </is>
      </c>
      <c r="H16" s="19" t="inlineStr">
        <is>
          <t>PLANNED WO. FG product with ACTIVE BOM.</t>
        </is>
      </c>
      <c r="I16" s="19" t="inlineStr">
        <is>
          <t>Status changes to RELEASED. releasedAt stamped. BOM pinned. Success: Work order released. Outbox WORK_ORDER_RELEASED emitted. No GL effect yet.</t>
        </is>
      </c>
      <c r="J16" s="19" t="inlineStr">
        <is>
          <t>/admin/work-orders/uid/:uid | POST /api/v1/work-orders/uid/{uid}/release</t>
        </is>
      </c>
      <c r="K16" s="19" t="inlineStr">
        <is>
          <t>WORKORDER.RELEASE</t>
        </is>
      </c>
      <c r="L16" s="19" t="inlineStr"/>
      <c r="M16" s="8" t="inlineStr">
        <is>
          <t>Not Run</t>
        </is>
      </c>
      <c r="N16" s="8" t="inlineStr"/>
      <c r="O16" s="19" t="inlineStr"/>
      <c r="P16" s="19" t="inlineStr"/>
      <c r="Q16" s="19" t="inlineStr"/>
    </row>
    <row r="17">
      <c r="A17" s="15" t="inlineStr">
        <is>
          <t>MFG-023</t>
        </is>
      </c>
      <c r="B17" s="16" t="inlineStr">
        <is>
          <t>Work Orders</t>
        </is>
      </c>
      <c r="C17" s="16" t="inlineStr">
        <is>
          <t>Release with no ACTIVE BOM is rejected</t>
        </is>
      </c>
      <c r="D17" s="17" t="inlineStr">
        <is>
          <t>Negative</t>
        </is>
      </c>
      <c r="E17" s="17" t="inlineStr">
        <is>
          <t>High</t>
        </is>
      </c>
      <c r="F17" s="16" t="inlineStr">
        <is>
          <t>User has WORKORDER.RELEASE. A PLANNED WO whose FG product has no ACTIVE BOM and no BOM pinned.</t>
        </is>
      </c>
      <c r="G17" s="16" t="inlineStr">
        <is>
          <t>1. Open the PLANNED WO detail.
2. Click Release.</t>
        </is>
      </c>
      <c r="H17" s="16" t="inlineStr">
        <is>
          <t>PLANNED WO. FG product has no ACTIVE BOM.</t>
        </is>
      </c>
      <c r="I17" s="16" t="inlineStr">
        <is>
          <t>HTTP 400: No ACTIVE BOM for product {code}. Pin a BOM before releasing (BR-MFG-02). Status stays PLANNED.</t>
        </is>
      </c>
      <c r="J17" s="16" t="inlineStr">
        <is>
          <t>/admin/work-orders/uid/:uid | POST /api/v1/work-orders/uid/{uid}/release</t>
        </is>
      </c>
      <c r="K17" s="16" t="inlineStr">
        <is>
          <t>WORKORDER.RELEASE</t>
        </is>
      </c>
      <c r="L17" s="16" t="inlineStr"/>
      <c r="M17" s="17" t="inlineStr">
        <is>
          <t>Not Run</t>
        </is>
      </c>
      <c r="N17" s="17" t="inlineStr"/>
      <c r="O17" s="16" t="inlineStr"/>
      <c r="P17" s="16" t="inlineStr"/>
      <c r="Q17" s="16" t="inlineStr"/>
    </row>
    <row r="18">
      <c r="A18" s="18" t="inlineStr">
        <is>
          <t>MFG-024</t>
        </is>
      </c>
      <c r="B18" s="19" t="inlineStr">
        <is>
          <t>Work Orders</t>
        </is>
      </c>
      <c r="C18" s="19" t="inlineStr">
        <is>
          <t>Issue components — RELEASED to IN_PROGRESS, WIP debit accumulated</t>
        </is>
      </c>
      <c r="D18" s="8" t="inlineStr">
        <is>
          <t>Positive</t>
        </is>
      </c>
      <c r="E18" s="8" t="inlineStr">
        <is>
          <t>High</t>
        </is>
      </c>
      <c r="F18" s="19" t="inlineStr">
        <is>
          <t>User has WORKORDER.MANAGE. A RELEASED WO with component products having on-hand stock and avg cost in the WO branch.</t>
        </is>
      </c>
      <c r="G18" s="19" t="inlineStr">
        <is>
          <t>1. Open the RELEASED WO detail.
2. Set Posting date = 2026-06-14.
3. Click Issue components.</t>
        </is>
      </c>
      <c r="H18" s="19" t="inlineStr">
        <is>
          <t>postingDate: 2026-06-14. Full issue (UI always sends full:true).</t>
        </is>
      </c>
      <c r="I18" s="19" t="inlineStr">
        <is>
          <t>Status changes to IN_PROGRESS. Component lines materialised from BOM explosion and marked ISSUED/PARTIAL. PRODUCTION_ISSUE stock movements posted. WIP debit accumulated. GL DR WIP / CR Inventory. Success: Components issued.</t>
        </is>
      </c>
      <c r="J18" s="19" t="inlineStr">
        <is>
          <t>/admin/work-orders/uid/:uid | POST /api/v1/work-orders/uid/{uid}/issue-components</t>
        </is>
      </c>
      <c r="K18" s="19" t="inlineStr">
        <is>
          <t>WORKORDER.MANAGE</t>
        </is>
      </c>
      <c r="L18" s="19" t="inlineStr"/>
      <c r="M18" s="8" t="inlineStr">
        <is>
          <t>Not Run</t>
        </is>
      </c>
      <c r="N18" s="8" t="inlineStr"/>
      <c r="O18" s="19" t="inlineStr"/>
      <c r="P18" s="19" t="inlineStr"/>
      <c r="Q18" s="19" t="inlineStr"/>
    </row>
    <row r="19">
      <c r="A19" s="15" t="inlineStr">
        <is>
          <t>MFG-025</t>
        </is>
      </c>
      <c r="B19" s="16" t="inlineStr">
        <is>
          <t>Work Orders</t>
        </is>
      </c>
      <c r="C19" s="16" t="inlineStr">
        <is>
          <t>Issue components with NULL avg_cost — cost-skipped, incompleteCost flag set</t>
        </is>
      </c>
      <c r="D19" s="17" t="inlineStr">
        <is>
          <t>Edge</t>
        </is>
      </c>
      <c r="E19" s="17" t="inlineStr">
        <is>
          <t>Medium</t>
        </is>
      </c>
      <c r="F19" s="16" t="inlineStr">
        <is>
          <t>User has WORKORDER.MANAGE. A RELEASED WO with one component whose avg_cost is NULL.</t>
        </is>
      </c>
      <c r="G19" s="16" t="inlineStr">
        <is>
          <t>1. Open the RELEASED WO.
2. Set posting date and issue components.</t>
        </is>
      </c>
      <c r="H19" s="16" t="inlineStr">
        <is>
          <t>Component product with avg_cost = NULL.</t>
        </is>
      </c>
      <c r="I19" s="16" t="inlineStr">
        <is>
          <t>Stock movement posted with null cost. Component line costSkipped=true. WO incompleteCost=true. No GL leg for that component (BR-MFG-06). Detail shows incomplete-cost indicator.</t>
        </is>
      </c>
      <c r="J19" s="16" t="inlineStr">
        <is>
          <t>/admin/work-orders/uid/:uid | POST /api/v1/work-orders/uid/{uid}/issue-components</t>
        </is>
      </c>
      <c r="K19" s="16" t="inlineStr">
        <is>
          <t>WORKORDER.MANAGE</t>
        </is>
      </c>
      <c r="L19" s="16" t="inlineStr"/>
      <c r="M19" s="17" t="inlineStr">
        <is>
          <t>Not Run</t>
        </is>
      </c>
      <c r="N19" s="17" t="inlineStr"/>
      <c r="O19" s="16" t="inlineStr"/>
      <c r="P19" s="16" t="inlineStr"/>
      <c r="Q19" s="16" t="inlineStr"/>
    </row>
    <row r="20">
      <c r="A20" s="18" t="inlineStr">
        <is>
          <t>MFG-026</t>
        </is>
      </c>
      <c r="B20" s="19" t="inlineStr">
        <is>
          <t>Work Orders</t>
        </is>
      </c>
      <c r="C20" s="19" t="inlineStr">
        <is>
          <t>Apply labour and overhead cost — GL PRODUCTION_LABOUR posting</t>
        </is>
      </c>
      <c r="D20" s="8" t="inlineStr">
        <is>
          <t>Positive</t>
        </is>
      </c>
      <c r="E20" s="8" t="inlineStr">
        <is>
          <t>High</t>
        </is>
      </c>
      <c r="F20" s="19" t="inlineStr">
        <is>
          <t>User has WORKORDER.MANAGE. A RELEASED or IN_PROGRESS WO exists.</t>
        </is>
      </c>
      <c r="G20" s="19" t="inlineStr">
        <is>
          <t>1. Open the WO detail.
2. In Apply Cost, enter labourAmount=5000, overheadAmount=2000, postingDate=2026-06-14.
3. Submit.</t>
        </is>
      </c>
      <c r="H20" s="19" t="inlineStr">
        <is>
          <t>labourAmount: 5000. overheadAmount: 2000. postingDate: 2026-06-14.</t>
        </is>
      </c>
      <c r="I20" s="19" t="inlineStr">
        <is>
          <t>Labour and overhead accumulators increase. WIP debit accumulated. GL PRODUCTION_LABOUR posting created. Success: Cost applied. Posting is append-only.</t>
        </is>
      </c>
      <c r="J20" s="19" t="inlineStr">
        <is>
          <t>/admin/work-orders/uid/:uid | POST /api/v1/work-orders/uid/{uid}/apply-cost</t>
        </is>
      </c>
      <c r="K20" s="19" t="inlineStr">
        <is>
          <t>WORKORDER.MANAGE</t>
        </is>
      </c>
      <c r="L20" s="19" t="inlineStr"/>
      <c r="M20" s="8" t="inlineStr">
        <is>
          <t>Not Run</t>
        </is>
      </c>
      <c r="N20" s="8" t="inlineStr"/>
      <c r="O20" s="19" t="inlineStr"/>
      <c r="P20" s="19" t="inlineStr"/>
      <c r="Q20" s="19" t="inlineStr"/>
    </row>
    <row r="21">
      <c r="A21" s="15" t="inlineStr">
        <is>
          <t>MFG-027</t>
        </is>
      </c>
      <c r="B21" s="16" t="inlineStr">
        <is>
          <t>Work Orders</t>
        </is>
      </c>
      <c r="C21" s="16" t="inlineStr">
        <is>
          <t>Apply cost tied to an operation — second apply is rejected (idempotency)</t>
        </is>
      </c>
      <c r="D21" s="17" t="inlineStr">
        <is>
          <t>Negative</t>
        </is>
      </c>
      <c r="E21" s="17" t="inlineStr">
        <is>
          <t>Medium</t>
        </is>
      </c>
      <c r="F21" s="16" t="inlineStr">
        <is>
          <t>User has WORKORDER.MANAGE. A WO with an un-applied operation exists.</t>
        </is>
      </c>
      <c r="G21" s="16" t="inlineStr">
        <is>
          <t>1. In Apply Cost, choose an operation by description via picker.
2. Apply cost.
3. Attempt to apply cost to the same operation again.</t>
        </is>
      </c>
      <c r="H21" s="16" t="inlineStr">
        <is>
          <t>WO with one un-applied operation.</t>
        </is>
      </c>
      <c r="I21" s="16" t="inlineStr">
        <is>
          <t>First apply marks the operation applied=true. Second apply returns 400: Operation {uid} already applied. Operation chosen by description (not uid) via picker.</t>
        </is>
      </c>
      <c r="J21" s="16" t="inlineStr">
        <is>
          <t>/admin/work-orders/uid/:uid | POST /api/v1/work-orders/uid/{uid}/apply-cost</t>
        </is>
      </c>
      <c r="K21" s="16" t="inlineStr">
        <is>
          <t>WORKORDER.MANAGE</t>
        </is>
      </c>
      <c r="L21" s="16" t="inlineStr"/>
      <c r="M21" s="17" t="inlineStr">
        <is>
          <t>Not Run</t>
        </is>
      </c>
      <c r="N21" s="17" t="inlineStr"/>
      <c r="O21" s="16" t="inlineStr"/>
      <c r="P21" s="16" t="inlineStr"/>
      <c r="Q21" s="16" t="inlineStr"/>
    </row>
    <row r="22">
      <c r="A22" s="18" t="inlineStr">
        <is>
          <t>MFG-028</t>
        </is>
      </c>
      <c r="B22" s="19" t="inlineStr">
        <is>
          <t>Work Orders</t>
        </is>
      </c>
      <c r="C22" s="19" t="inlineStr">
        <is>
          <t>Complete work order — IN_PROGRESS to COMPLETED with FG receipt and WIP relief</t>
        </is>
      </c>
      <c r="D22" s="8" t="inlineStr">
        <is>
          <t>Positive</t>
        </is>
      </c>
      <c r="E22" s="8" t="inlineStr">
        <is>
          <t>High</t>
        </is>
      </c>
      <c r="F22" s="19" t="inlineStr">
        <is>
          <t>User has WORKORDER.CLOSE. An IN_PROGRESS WO with WIP accumulated. FG product is GOODS type.</t>
        </is>
      </c>
      <c r="G22" s="19" t="inlineStr">
        <is>
          <t>1. Open the IN_PROGRESS WO detail.
2. Enter goodQty=90, scrapQty=10, postingDate=2026-06-14.
3. Submit.</t>
        </is>
      </c>
      <c r="H22" s="19" t="inlineStr">
        <is>
          <t>goodQty: 90. scrapQty: 10. allowOverRun: false. postingDate: 2026-06-14.</t>
        </is>
      </c>
      <c r="I22" s="19" t="inlineStr">
        <is>
          <t>Status changes to COMPLETED. goodQty/scrapQty set. computedUnitCost derived from open WIP / goodQty. FG PRODUCTION_RECEIPT stock movement. GL DR Finished-Goods / CR WIP. Outbox WORK_ORDER_COMPLETED emitted.</t>
        </is>
      </c>
      <c r="J22" s="19" t="inlineStr">
        <is>
          <t>/admin/work-orders/uid/:uid | POST /api/v1/work-orders/uid/{uid}/complete</t>
        </is>
      </c>
      <c r="K22" s="19" t="inlineStr">
        <is>
          <t>WORKORDER.CLOSE</t>
        </is>
      </c>
      <c r="L22" s="19" t="inlineStr"/>
      <c r="M22" s="8" t="inlineStr">
        <is>
          <t>Not Run</t>
        </is>
      </c>
      <c r="N22" s="8" t="inlineStr"/>
      <c r="O22" s="19" t="inlineStr"/>
      <c r="P22" s="19" t="inlineStr"/>
      <c r="Q22" s="19" t="inlineStr"/>
    </row>
    <row r="23">
      <c r="A23" s="15" t="inlineStr">
        <is>
          <t>MFG-029</t>
        </is>
      </c>
      <c r="B23" s="16" t="inlineStr">
        <is>
          <t>Work Orders</t>
        </is>
      </c>
      <c r="C23" s="16" t="inlineStr">
        <is>
          <t>Complete with goodQty exceeding plannedQty is blocked unless allowOverRun=true</t>
        </is>
      </c>
      <c r="D23" s="17" t="inlineStr">
        <is>
          <t>Negative</t>
        </is>
      </c>
      <c r="E23" s="17" t="inlineStr">
        <is>
          <t>Medium</t>
        </is>
      </c>
      <c r="F23" s="16" t="inlineStr">
        <is>
          <t>User has WORKORDER.CLOSE. An IN_PROGRESS WO with plannedQty=100.</t>
        </is>
      </c>
      <c r="G23" s="16" t="inlineStr">
        <is>
          <t>1. Complete with goodQty=110, allowOverRun not checked.
2. Retry with the allow over-run checkbox enabled.</t>
        </is>
      </c>
      <c r="H23" s="16" t="inlineStr">
        <is>
          <t>plannedQty: 100. goodQty: 110.</t>
        </is>
      </c>
      <c r="I23" s="16" t="inlineStr">
        <is>
          <t>Step 1: HTTP 400: Output (110) exceeds planned qty (100). Set allowOverRun=true to override (BR-MFG-07). Step 2: Succeeds. Exact equality (110 vs 110) is allowed.</t>
        </is>
      </c>
      <c r="J23" s="16" t="inlineStr">
        <is>
          <t>/admin/work-orders/uid/:uid | POST /api/v1/work-orders/uid/{uid}/complete</t>
        </is>
      </c>
      <c r="K23" s="16" t="inlineStr">
        <is>
          <t>WORKORDER.CLOSE</t>
        </is>
      </c>
      <c r="L23" s="16" t="inlineStr"/>
      <c r="M23" s="17" t="inlineStr">
        <is>
          <t>Not Run</t>
        </is>
      </c>
      <c r="N23" s="17" t="inlineStr"/>
      <c r="O23" s="16" t="inlineStr"/>
      <c r="P23" s="16" t="inlineStr"/>
      <c r="Q23" s="16" t="inlineStr"/>
    </row>
    <row r="24">
      <c r="A24" s="18" t="inlineStr">
        <is>
          <t>MFG-030</t>
        </is>
      </c>
      <c r="B24" s="19" t="inlineStr">
        <is>
          <t>Work Orders</t>
        </is>
      </c>
      <c r="C24" s="19" t="inlineStr">
        <is>
          <t>Close work order — COMPLETED to CLOSED with variance cleared</t>
        </is>
      </c>
      <c r="D24" s="8" t="inlineStr">
        <is>
          <t>Positive</t>
        </is>
      </c>
      <c r="E24" s="8" t="inlineStr">
        <is>
          <t>High</t>
        </is>
      </c>
      <c r="F24" s="19" t="inlineStr">
        <is>
          <t>User has WORKORDER.CLOSE. A COMPLETED WO with residual WIP (rounding/variance) exists.</t>
        </is>
      </c>
      <c r="G24" s="19" t="inlineStr">
        <is>
          <t>1. Open the COMPLETED WO detail.
2. In Close, enter postingDate=2026-06-14.
3. Submit.</t>
        </is>
      </c>
      <c r="H24" s="19" t="inlineStr">
        <is>
          <t>postingDate: 2026-06-14.</t>
        </is>
      </c>
      <c r="I24" s="19" t="inlineStr">
        <is>
          <t>Status changes to CLOSED (terminal). Residual WIP cleared to Manufacturing Variance (GL PRODUCTION_VARIANCE DR/CR per sign). varianceAmount set. closedAt stamped. Success: Work order closed.</t>
        </is>
      </c>
      <c r="J24" s="19" t="inlineStr">
        <is>
          <t>/admin/work-orders/uid/:uid | POST /api/v1/work-orders/uid/{uid}/close</t>
        </is>
      </c>
      <c r="K24" s="19" t="inlineStr">
        <is>
          <t>WORKORDER.CLOSE</t>
        </is>
      </c>
      <c r="L24" s="19" t="inlineStr"/>
      <c r="M24" s="8" t="inlineStr">
        <is>
          <t>Not Run</t>
        </is>
      </c>
      <c r="N24" s="8" t="inlineStr"/>
      <c r="O24" s="19" t="inlineStr"/>
      <c r="P24" s="19" t="inlineStr"/>
      <c r="Q24" s="19" t="inlineStr"/>
    </row>
    <row r="25">
      <c r="A25" s="15" t="inlineStr">
        <is>
          <t>MFG-031</t>
        </is>
      </c>
      <c r="B25" s="16" t="inlineStr">
        <is>
          <t>Work Orders</t>
        </is>
      </c>
      <c r="C25" s="16" t="inlineStr">
        <is>
          <t>Cancel PLANNED work order — no stock or GL reversal needed</t>
        </is>
      </c>
      <c r="D25" s="17" t="inlineStr">
        <is>
          <t>Positive</t>
        </is>
      </c>
      <c r="E25" s="17" t="inlineStr">
        <is>
          <t>High</t>
        </is>
      </c>
      <c r="F25" s="16" t="inlineStr">
        <is>
          <t>User has WORKORDER.MANAGE. A PLANNED WO exists.</t>
        </is>
      </c>
      <c r="G25" s="16" t="inlineStr">
        <is>
          <t>1. Open the PLANNED WO detail.
2. Enter cancel reason: Customer cancelled.
3. Confirm cancel.</t>
        </is>
      </c>
      <c r="H25" s="16" t="inlineStr">
        <is>
          <t>reason: Customer cancelled.</t>
        </is>
      </c>
      <c r="I25" s="16" t="inlineStr">
        <is>
          <t>Status changes to CANCELLED (terminal). cancelledAt stamped. No stock or GL reversal (nothing was issued). Reason is optional.</t>
        </is>
      </c>
      <c r="J25" s="16" t="inlineStr">
        <is>
          <t>/admin/work-orders/uid/:uid | POST /api/v1/work-orders/uid/{uid}/cancel</t>
        </is>
      </c>
      <c r="K25" s="16" t="inlineStr">
        <is>
          <t>WORKORDER.MANAGE</t>
        </is>
      </c>
      <c r="L25" s="16" t="inlineStr"/>
      <c r="M25" s="17" t="inlineStr">
        <is>
          <t>Not Run</t>
        </is>
      </c>
      <c r="N25" s="17" t="inlineStr"/>
      <c r="O25" s="16" t="inlineStr"/>
      <c r="P25" s="16" t="inlineStr"/>
      <c r="Q25" s="16" t="inlineStr"/>
    </row>
    <row r="26">
      <c r="A26" s="18" t="inlineStr">
        <is>
          <t>MFG-032</t>
        </is>
      </c>
      <c r="B26" s="19" t="inlineStr">
        <is>
          <t>Work Orders</t>
        </is>
      </c>
      <c r="C26" s="19" t="inlineStr">
        <is>
          <t>Cancel IN_PROGRESS work order reverses issued stock and applied labour GL</t>
        </is>
      </c>
      <c r="D26" s="8" t="inlineStr">
        <is>
          <t>Positive</t>
        </is>
      </c>
      <c r="E26" s="8" t="inlineStr">
        <is>
          <t>High</t>
        </is>
      </c>
      <c r="F26" s="19" t="inlineStr">
        <is>
          <t>User has WORKORDER.MANAGE. An IN_PROGRESS WO with issued components and applied labour/overhead exists.</t>
        </is>
      </c>
      <c r="G26" s="19" t="inlineStr">
        <is>
          <t>1. Open the IN_PROGRESS WO detail.
2. Cancel the WO.</t>
        </is>
      </c>
      <c r="H26" s="19" t="inlineStr">
        <is>
          <t>IN_PROGRESS WO with costed issued components.</t>
        </is>
      </c>
      <c r="I26" s="19" t="inlineStr">
        <is>
          <t>Status changes to CANCELLED. Each issued component reversed via PRODUCTION_ISSUE_REVERSAL (stock restored at original value). WIP debit reversed. GL DR Inventory / CR WIP. Applied labour/overhead reversed. Reversals are append-only movements.</t>
        </is>
      </c>
      <c r="J26" s="19" t="inlineStr">
        <is>
          <t>/admin/work-orders/uid/:uid | POST /api/v1/work-orders/uid/{uid}/cancel</t>
        </is>
      </c>
      <c r="K26" s="19" t="inlineStr">
        <is>
          <t>WORKORDER.MANAGE</t>
        </is>
      </c>
      <c r="L26" s="19" t="inlineStr"/>
      <c r="M26" s="8" t="inlineStr">
        <is>
          <t>Not Run</t>
        </is>
      </c>
      <c r="N26" s="8" t="inlineStr"/>
      <c r="O26" s="19" t="inlineStr"/>
      <c r="P26" s="19" t="inlineStr"/>
      <c r="Q26" s="19" t="inlineStr"/>
    </row>
    <row r="27">
      <c r="A27" s="15" t="inlineStr">
        <is>
          <t>MFG-033</t>
        </is>
      </c>
      <c r="B27" s="16" t="inlineStr">
        <is>
          <t>Work Orders</t>
        </is>
      </c>
      <c r="C27" s="16" t="inlineStr">
        <is>
          <t>Cancel blocked for COMPLETED, CLOSED, and already-CANCELLED work orders</t>
        </is>
      </c>
      <c r="D27" s="17" t="inlineStr">
        <is>
          <t>Negative</t>
        </is>
      </c>
      <c r="E27" s="17" t="inlineStr">
        <is>
          <t>High</t>
        </is>
      </c>
      <c r="F27" s="16" t="inlineStr">
        <is>
          <t>User has WORKORDER.MANAGE. One WO in COMPLETED, one in CLOSED, one in CANCELLED.</t>
        </is>
      </c>
      <c r="G27" s="16" t="inlineStr">
        <is>
          <t>1. Attempt cancel on the COMPLETED WO.
2. Attempt cancel on the CLOSED WO.
3. Attempt cancel on the CANCELLED WO.</t>
        </is>
      </c>
      <c r="H27" s="16" t="inlineStr">
        <is>
          <t>One WO in each terminal state.</t>
        </is>
      </c>
      <c r="I27" s="16" t="inlineStr">
        <is>
          <t>COMPLETED: HTTP 400: Cannot cancel a COMPLETED work order — close it first or contact a manager. CLOSED: HTTP 400: Cannot cancel a CLOSED work order. CANCELLED: HTTP 400: Cannot cancel a CANCELLED work order. No status change in any case.</t>
        </is>
      </c>
      <c r="J27" s="16" t="inlineStr">
        <is>
          <t>/api/v1/work-orders/uid/{uid}/cancel</t>
        </is>
      </c>
      <c r="K27" s="16" t="inlineStr">
        <is>
          <t>WORKORDER.MANAGE</t>
        </is>
      </c>
      <c r="L27" s="16" t="inlineStr"/>
      <c r="M27" s="17" t="inlineStr">
        <is>
          <t>Not Run</t>
        </is>
      </c>
      <c r="N27" s="17" t="inlineStr"/>
      <c r="O27" s="16" t="inlineStr"/>
      <c r="P27" s="16" t="inlineStr"/>
      <c r="Q27" s="16" t="inlineStr"/>
    </row>
    <row r="28">
      <c r="A28" s="18" t="inlineStr">
        <is>
          <t>MFG-034</t>
        </is>
      </c>
      <c r="B28" s="19" t="inlineStr">
        <is>
          <t>Work Orders</t>
        </is>
      </c>
      <c r="C28" s="19" t="inlineStr">
        <is>
          <t>WORKORDER.MANAGE without RELEASE cannot release; without CLOSE cannot complete or close</t>
        </is>
      </c>
      <c r="D28" s="8" t="inlineStr">
        <is>
          <t>Permission</t>
        </is>
      </c>
      <c r="E28" s="8" t="inlineStr">
        <is>
          <t>High</t>
        </is>
      </c>
      <c r="F28" s="19" t="inlineStr">
        <is>
          <t>A user with MANUFACTURING.VIEW and WORKORDER.MANAGE but NOT WORKORDER.RELEASE and NOT WORKORDER.CLOSE.</t>
        </is>
      </c>
      <c r="G28" s="19" t="inlineStr">
        <is>
          <t>1. Login as the restricted user.
2. Open a PLANNED WO; observe Release button.
3. Open an IN_PROGRESS WO; observe Complete button.</t>
        </is>
      </c>
      <c r="H28" s="19" t="inlineStr">
        <is>
          <t>User with MANUFACTURING.VIEW + WORKORDER.MANAGE only.</t>
        </is>
      </c>
      <c r="I28" s="19" t="inlineStr">
        <is>
          <t>Release button hidden (canRelease() = false, as WORKORDER.RELEASE missing). Complete button hidden (canComplete() = false). Direct API calls return 403.</t>
        </is>
      </c>
      <c r="J28" s="19" t="inlineStr">
        <is>
          <t>/admin/work-orders/uid/:uid</t>
        </is>
      </c>
      <c r="K28" s="19" t="inlineStr">
        <is>
          <t>WORKORDER.MANAGE (lacking WORKORDER.RELEASE and WORKORDER.CLOSE)</t>
        </is>
      </c>
      <c r="L28" s="19" t="inlineStr"/>
      <c r="M28" s="8" t="inlineStr">
        <is>
          <t>Not Run</t>
        </is>
      </c>
      <c r="N28" s="8" t="inlineStr"/>
      <c r="O28" s="19" t="inlineStr"/>
      <c r="P28" s="19" t="inlineStr"/>
      <c r="Q28" s="19" t="inlineStr"/>
    </row>
    <row r="29">
      <c r="A29" s="15" t="inlineStr">
        <is>
          <t>MFG-035</t>
        </is>
      </c>
      <c r="B29" s="16" t="inlineStr">
        <is>
          <t>Work Orders</t>
        </is>
      </c>
      <c r="C29" s="16" t="inlineStr">
        <is>
          <t>Issue components on a PLANNED (not yet released) WO is rejected</t>
        </is>
      </c>
      <c r="D29" s="17" t="inlineStr">
        <is>
          <t>Negative</t>
        </is>
      </c>
      <c r="E29" s="17" t="inlineStr">
        <is>
          <t>High</t>
        </is>
      </c>
      <c r="F29" s="16" t="inlineStr">
        <is>
          <t>User has WORKORDER.MANAGE. A PLANNED WO exists.</t>
        </is>
      </c>
      <c r="G29" s="16" t="inlineStr">
        <is>
          <t>1. Open the PLANNED WO detail.
2. Attempt to issue components.</t>
        </is>
      </c>
      <c r="H29" s="16" t="inlineStr">
        <is>
          <t>PLANNED WO.</t>
        </is>
      </c>
      <c r="I29" s="16" t="inlineStr">
        <is>
          <t>HTTP 400: Components can only be issued for RELEASED or IN_PROGRESS work orders. Status unchanged.</t>
        </is>
      </c>
      <c r="J29" s="16" t="inlineStr">
        <is>
          <t>/api/v1/work-orders/uid/{uid}/issue-components</t>
        </is>
      </c>
      <c r="K29" s="16" t="inlineStr">
        <is>
          <t>WORKORDER.MANAGE</t>
        </is>
      </c>
      <c r="L29" s="16" t="inlineStr"/>
      <c r="M29" s="17" t="inlineStr">
        <is>
          <t>Not Run</t>
        </is>
      </c>
      <c r="N29" s="17" t="inlineStr"/>
      <c r="O29" s="16" t="inlineStr"/>
      <c r="P29" s="16" t="inlineStr"/>
      <c r="Q29" s="16" t="inlineStr"/>
    </row>
    <row r="30">
      <c r="A30" s="18" t="inlineStr">
        <is>
          <t>MFG-036</t>
        </is>
      </c>
      <c r="B30" s="19" t="inlineStr">
        <is>
          <t>Work Orders</t>
        </is>
      </c>
      <c r="C30" s="19" t="inlineStr">
        <is>
          <t>Add and remove operations on a work order</t>
        </is>
      </c>
      <c r="D30" s="8" t="inlineStr">
        <is>
          <t>Positive</t>
        </is>
      </c>
      <c r="E30" s="8" t="inlineStr">
        <is>
          <t>Medium</t>
        </is>
      </c>
      <c r="F30" s="19" t="inlineStr">
        <is>
          <t>User has WORKORDER.MANAGE. A PLANNED or IN_PROGRESS WO exists.</t>
        </is>
      </c>
      <c r="G30" s="19" t="inlineStr">
        <is>
          <t>1. In Add operation, enter seqNo=10, description=Cutting, workCentre=WC-1, labourAmount=100, overheadAmount=50; submit.
2. Remove the un-applied operation.
3. Attempt to remove an applied operation.</t>
        </is>
      </c>
      <c r="H30" s="19" t="inlineStr">
        <is>
          <t>seqNo: 10. description: Cutting. labourAmount: 100. overheadAmount: 50.</t>
        </is>
      </c>
      <c r="I30" s="19" t="inlineStr">
        <is>
          <t>Add returns 201 with operation row appended. Remove of un-applied returns 204. Remove of applied returns 400: Cannot remove an already-applied operation.</t>
        </is>
      </c>
      <c r="J30" s="19" t="inlineStr">
        <is>
          <t>/admin/work-orders/uid/:uid | POST .../operations | DELETE .../operations/{opUid}</t>
        </is>
      </c>
      <c r="K30" s="19" t="inlineStr">
        <is>
          <t>WORKORDER.MANAGE</t>
        </is>
      </c>
      <c r="L30" s="19" t="inlineStr"/>
      <c r="M30" s="8" t="inlineStr">
        <is>
          <t>Not Run</t>
        </is>
      </c>
      <c r="N30" s="8" t="inlineStr"/>
      <c r="O30" s="19" t="inlineStr"/>
      <c r="P30" s="19" t="inlineStr"/>
      <c r="Q30" s="19" t="inlineStr"/>
    </row>
    <row r="31">
      <c r="A31" s="15" t="inlineStr">
        <is>
          <t>MFG-037</t>
        </is>
      </c>
      <c r="B31" s="16" t="inlineStr">
        <is>
          <t>Work Orders</t>
        </is>
      </c>
      <c r="C31" s="16" t="inlineStr">
        <is>
          <t>Work order edit allowed only while PLANNED</t>
        </is>
      </c>
      <c r="D31" s="17" t="inlineStr">
        <is>
          <t>Positive</t>
        </is>
      </c>
      <c r="E31" s="17" t="inlineStr">
        <is>
          <t>High</t>
        </is>
      </c>
      <c r="F31" s="16" t="inlineStr">
        <is>
          <t>User has WORKORDER.MANAGE. A PLANNED WO and a RELEASED WO exist.</t>
        </is>
      </c>
      <c r="G31" s="16" t="inlineStr">
        <is>
          <t>1. Open the PLANNED WO; change plannedQty and branch; save.
2. Open the RELEASED WO; observe edit controls.</t>
        </is>
      </c>
      <c r="H31" s="16" t="inlineStr">
        <is>
          <t>PLANNED WO, RELEASED WO.</t>
        </is>
      </c>
      <c r="I31" s="16" t="inlineStr">
        <is>
          <t>PLANNED edit succeeds. RELEASED WO has edit controls hidden (canEdit = status PLANNED &amp;&amp; WORKORDER.MANAGE). Direct API PUT on non-PLANNED returns 400: Work order can only be edited while PLANNED (BR-MFG-04).</t>
        </is>
      </c>
      <c r="J31" s="16" t="inlineStr">
        <is>
          <t>/admin/work-orders/uid/:uid | PUT /api/v1/work-orders/uid/{uid}</t>
        </is>
      </c>
      <c r="K31" s="16" t="inlineStr">
        <is>
          <t>WORKORDER.MANAGE</t>
        </is>
      </c>
      <c r="L31" s="16" t="inlineStr"/>
      <c r="M31" s="17" t="inlineStr">
        <is>
          <t>Not Run</t>
        </is>
      </c>
      <c r="N31" s="17" t="inlineStr"/>
      <c r="O31" s="16" t="inlineStr"/>
      <c r="P31" s="16" t="inlineStr"/>
      <c r="Q31" s="16" t="inlineStr"/>
    </row>
    <row r="32">
      <c r="A32" s="18" t="inlineStr">
        <is>
          <t>MFG-038</t>
        </is>
      </c>
      <c r="B32" s="19" t="inlineStr">
        <is>
          <t>Work Orders</t>
        </is>
      </c>
      <c r="C32" s="19" t="inlineStr">
        <is>
          <t>Work order cost report screen renders planned vs actual breakdown</t>
        </is>
      </c>
      <c r="D32" s="8" t="inlineStr">
        <is>
          <t>Positive</t>
        </is>
      </c>
      <c r="E32" s="8" t="inlineStr">
        <is>
          <t>High</t>
        </is>
      </c>
      <c r="F32" s="19" t="inlineStr">
        <is>
          <t>User has MANUFACTURING.VIEW. A WO with issued components and applied labour/overhead exists.</t>
        </is>
      </c>
      <c r="G32" s="19" t="inlineStr">
        <is>
          <t>1. From WO detail, navigate to the cost report route.
2. Inspect planned-vs-actual components, applied labour/overhead, WIP debit/credit, net WIP, computed unit cost, variance, incompleteCost flag.</t>
        </is>
      </c>
      <c r="H32" s="19" t="inlineStr">
        <is>
          <t>WO with costed components and applied cost.</t>
        </is>
      </c>
      <c r="I32" s="19" t="inlineStr">
        <is>
          <t>WorkOrderCostReportDto rendered. netWIP = wipDebitTotal - wipCreditTotal. Component rows show code/name. Money formatted as CUR 1,234.56. WO referenced by woNumber; uid only in URL.</t>
        </is>
      </c>
      <c r="J32" s="19" t="inlineStr">
        <is>
          <t>/admin/work-orders/uid/:uid/cost-report | GET /api/v1/work-orders/uid/{uid}/cost-report</t>
        </is>
      </c>
      <c r="K32" s="19" t="inlineStr">
        <is>
          <t>MANUFACTURING.VIEW</t>
        </is>
      </c>
      <c r="L32" s="19" t="inlineStr"/>
      <c r="M32" s="8" t="inlineStr">
        <is>
          <t>Not Run</t>
        </is>
      </c>
      <c r="N32" s="8" t="inlineStr"/>
      <c r="O32" s="19" t="inlineStr"/>
      <c r="P32" s="19" t="inlineStr"/>
      <c r="Q32" s="19" t="inlineStr"/>
    </row>
    <row r="33">
      <c r="A33" s="15" t="inlineStr">
        <is>
          <t>MFG-039</t>
        </is>
      </c>
      <c r="B33" s="16" t="inlineStr">
        <is>
          <t>Work Orders</t>
        </is>
      </c>
      <c r="C33" s="16" t="inlineStr">
        <is>
          <t>Full happy-path work order lifecycle: PLANNED &gt; RELEASED &gt; IN_PROGRESS &gt; COMPLETED &gt; CLOSED</t>
        </is>
      </c>
      <c r="D33" s="17" t="inlineStr">
        <is>
          <t>Positive</t>
        </is>
      </c>
      <c r="E33" s="17" t="inlineStr">
        <is>
          <t>High</t>
        </is>
      </c>
      <c r="F33" s="16" t="inlineStr">
        <is>
          <t>ORG_ADMIN (all mfg perms). ACTIVE BOM for GOODS FG product. Component stock with avg cost in branch.</t>
        </is>
      </c>
      <c r="G33" s="16" t="inlineStr">
        <is>
          <t>1. Create WO (PLANNED).
2. Release (RELEASED).
3. Issue components (IN_PROGRESS).
4. Apply labour=5000 and overhead=2000.
5. Complete with goodQty=90, scrapQty=10 (COMPLETED).
6. Close (CLOSED).</t>
        </is>
      </c>
      <c r="H33" s="16" t="inlineStr">
        <is>
          <t>plannedQty: 100. goodQty: 90. scrapQty: 10. labour: 5000. overhead: 2000.</t>
        </is>
      </c>
      <c r="I33" s="16" t="inlineStr">
        <is>
          <t>Status badge walks PLANNED &gt; RELEASED &gt; IN_PROGRESS &gt; COMPLETED &gt; CLOSED. Final cost report shows WIP debit ≈ WIP credit, computed unit cost, residual variance cleared. FG on-hand increased by 90. All postings append-only.</t>
        </is>
      </c>
      <c r="J33" s="16" t="inlineStr">
        <is>
          <t>All /admin/work-orders/uid/:uid transitions</t>
        </is>
      </c>
      <c r="K33" s="16" t="inlineStr">
        <is>
          <t>ORG_ADMIN (WORKORDER.MANAGE + WORKORDER.RELEASE + WORKORDER.CLOSE + MANUFACTURING.VIEW)</t>
        </is>
      </c>
      <c r="L33" s="16" t="inlineStr"/>
      <c r="M33" s="17" t="inlineStr">
        <is>
          <t>Not Run</t>
        </is>
      </c>
      <c r="N33" s="17" t="inlineStr"/>
      <c r="O33" s="16" t="inlineStr"/>
      <c r="P33" s="16" t="inlineStr"/>
      <c r="Q33" s="16" t="inlineStr"/>
    </row>
    <row r="34">
      <c r="A34" s="18" t="inlineStr">
        <is>
          <t>MFG-040</t>
        </is>
      </c>
      <c r="B34" s="19" t="inlineStr">
        <is>
          <t>WIP Reconciliation</t>
        </is>
      </c>
      <c r="C34" s="19" t="inlineStr">
        <is>
          <t>WIP reconciliation report — balanced (ties=true)</t>
        </is>
      </c>
      <c r="D34" s="8" t="inlineStr">
        <is>
          <t>Positive</t>
        </is>
      </c>
      <c r="E34" s="8" t="inlineStr">
        <is>
          <t>High</t>
        </is>
      </c>
      <c r="F34" s="19" t="inlineStr">
        <is>
          <t>User has MANUFACTURING.VIEW. Company with open WOs whose WIP matches GL 1320 balance.</t>
        </is>
      </c>
      <c r="G34" s="19" t="inlineStr">
        <is>
          <t>1. Navigate to /admin/manufacturing/wip-reconciliation.
2. Select the company.
3. Review the reconciliation result.</t>
        </is>
      </c>
      <c r="H34" s="19" t="inlineStr">
        <is>
          <t>Company with balanced WIP.</t>
        </is>
      </c>
      <c r="I34" s="19" t="inlineStr">
        <is>
          <t>WipReconciliationDto {label, computed, expected, ties=true}. ties=true rendered as balanced (no error alert). computed = Σ(wipDebit - wipCredit) of open WOs. expected = GL 1320 balance, base currency.</t>
        </is>
      </c>
      <c r="J34" s="19" t="inlineStr">
        <is>
          <t>/admin/manufacturing/wip-reconciliation | GET /api/v1/manufacturing/wip-reconciliation</t>
        </is>
      </c>
      <c r="K34" s="19" t="inlineStr">
        <is>
          <t>MANUFACTURING.VIEW</t>
        </is>
      </c>
      <c r="L34" s="19" t="inlineStr"/>
      <c r="M34" s="8" t="inlineStr">
        <is>
          <t>Not Run</t>
        </is>
      </c>
      <c r="N34" s="8" t="inlineStr"/>
      <c r="O34" s="19" t="inlineStr"/>
      <c r="P34" s="19" t="inlineStr"/>
      <c r="Q34" s="19" t="inlineStr"/>
    </row>
    <row r="35">
      <c r="A35" s="15" t="inlineStr">
        <is>
          <t>MFG-041</t>
        </is>
      </c>
      <c r="B35" s="16" t="inlineStr">
        <is>
          <t>WIP Reconciliation</t>
        </is>
      </c>
      <c r="C35" s="16" t="inlineStr">
        <is>
          <t>WIP reconciliation report — does not tie (ties=false) shows finance-grade defect alert</t>
        </is>
      </c>
      <c r="D35" s="17" t="inlineStr">
        <is>
          <t>Negative</t>
        </is>
      </c>
      <c r="E35" s="17" t="inlineStr">
        <is>
          <t>High</t>
        </is>
      </c>
      <c r="F35" s="16" t="inlineStr">
        <is>
          <t>User has MANUFACTURING.VIEW. Company where Σ open-WO WIP differs from GL 1320.</t>
        </is>
      </c>
      <c r="G35" s="16" t="inlineStr">
        <is>
          <t>1. Open WIP reconciliation for the out-of-balance company.</t>
        </is>
      </c>
      <c r="H35" s="16" t="inlineStr">
        <is>
          <t>Company with forced WIP vs GL mismatch.</t>
        </is>
      </c>
      <c r="I35" s="16" t="inlineStr">
        <is>
          <t>ties=false. Error alert raised: WIP Reconciliation Defect — Computed WIP ({computed}) does not match GL balance ({expected}). Finance review required. Computed and expected amounts both displayed.</t>
        </is>
      </c>
      <c r="J35" s="16" t="inlineStr">
        <is>
          <t>/admin/manufacturing/wip-reconciliation | GET /api/v1/manufacturing/wip-reconciliation</t>
        </is>
      </c>
      <c r="K35" s="16" t="inlineStr">
        <is>
          <t>MANUFACTURING.VIEW</t>
        </is>
      </c>
      <c r="L35" s="16" t="inlineStr"/>
      <c r="M35" s="17" t="inlineStr">
        <is>
          <t>Not Run</t>
        </is>
      </c>
      <c r="N35" s="17" t="inlineStr"/>
      <c r="O35" s="16" t="inlineStr"/>
      <c r="P35" s="16" t="inlineStr"/>
      <c r="Q35" s="16" t="inlineStr"/>
    </row>
    <row r="36">
      <c r="A36" s="18" t="inlineStr">
        <is>
          <t>MFG-042</t>
        </is>
      </c>
      <c r="B36" s="19" t="inlineStr">
        <is>
          <t>Permission Matrix</t>
        </is>
      </c>
      <c r="C36" s="19" t="inlineStr">
        <is>
          <t>Non-manufacturing roles cannot access BOM or work order screens</t>
        </is>
      </c>
      <c r="D36" s="8" t="inlineStr">
        <is>
          <t>Permission</t>
        </is>
      </c>
      <c r="E36" s="8" t="inlineStr">
        <is>
          <t>High</t>
        </is>
      </c>
      <c r="F36" s="19" t="inlineStr">
        <is>
          <t>Users for ACCOUNTANT, STOREKEEPER, SALES_REP (none granted mfg/BOM perms). A NO-PERMISSION user.</t>
        </is>
      </c>
      <c r="G36" s="19" t="inlineStr">
        <is>
          <t>1. Login as ACCOUNTANT; attempt to navigate to /admin/boms and /admin/work-orders.
2. Repeat as STOREKEEPER and SALES_REP.
3. Repeat as NO-PERMISSION user.</t>
        </is>
      </c>
      <c r="H36" s="19" t="inlineStr">
        <is>
          <t>Four user types without manufacturing permissions.</t>
        </is>
      </c>
      <c r="I36" s="19" t="inlineStr">
        <is>
          <t>Nav items Bills of Materials and Work Orders hidden for all four users. Route guards redirect to /admin/home. Direct API calls return 403 for all BOM and WO endpoints.</t>
        </is>
      </c>
      <c r="J36" s="19" t="inlineStr">
        <is>
          <t>/admin/boms | /admin/work-orders</t>
        </is>
      </c>
      <c r="K36" s="19" t="inlineStr">
        <is>
          <t>None (BOM.VIEW / MANUFACTURING.VIEW missing)</t>
        </is>
      </c>
      <c r="L36" s="19" t="inlineStr"/>
      <c r="M36" s="8" t="inlineStr">
        <is>
          <t>Not Run</t>
        </is>
      </c>
      <c r="N36" s="8" t="inlineStr"/>
      <c r="O36" s="19" t="inlineStr"/>
      <c r="P36" s="19" t="inlineStr"/>
      <c r="Q36" s="19" t="inlineStr"/>
    </row>
    <row r="37">
      <c r="A37" s="15" t="inlineStr">
        <is>
          <t>MFG-043</t>
        </is>
      </c>
      <c r="B37" s="16" t="inlineStr">
        <is>
          <t>Permission Matrix</t>
        </is>
      </c>
      <c r="C37" s="16" t="inlineStr">
        <is>
          <t>CUSTOM read-only role sees BOM and WO lists/details but cannot manage</t>
        </is>
      </c>
      <c r="D37" s="17" t="inlineStr">
        <is>
          <t>Permission</t>
        </is>
      </c>
      <c r="E37" s="17" t="inlineStr">
        <is>
          <t>High</t>
        </is>
      </c>
      <c r="F37" s="16" t="inlineStr">
        <is>
          <t>A CUSTOM role granted BOM.VIEW and MANUFACTURING.VIEW only.</t>
        </is>
      </c>
      <c r="G37" s="16" t="inlineStr">
        <is>
          <t>1. Login as the read-only user.
2. Navigate to /admin/boms; verify list and detail load.
3. Observe Create, Activate, Add component buttons.
4. Navigate to /admin/work-orders; verify list and detail load.
5. Observe Create, Release, Complete, Close, Cancel buttons.</t>
        </is>
      </c>
      <c r="H37" s="16" t="inlineStr">
        <is>
          <t>CUSTOM role with BOM.VIEW + MANUFACTURING.VIEW.</t>
        </is>
      </c>
      <c r="I37" s="16" t="inlineStr">
        <is>
          <t>BOM and WO lists and detail screens load. All create/manage/release/close/cancel buttons hidden. Direct POST/PUT to manage endpoints returns 403.</t>
        </is>
      </c>
      <c r="J37" s="16" t="inlineStr">
        <is>
          <t>/admin/boms | /admin/work-orders</t>
        </is>
      </c>
      <c r="K37" s="16" t="inlineStr">
        <is>
          <t>BOM.VIEW + MANUFACTURING.VIEW (lacking BOM.MANAGE, WORKORDER.MANAGE, WORKORDER.RELEASE, WORKORDER.CLOSE)</t>
        </is>
      </c>
      <c r="L37" s="16" t="inlineStr"/>
      <c r="M37" s="17" t="inlineStr">
        <is>
          <t>Not Run</t>
        </is>
      </c>
      <c r="N37" s="17" t="inlineStr"/>
      <c r="O37" s="16" t="inlineStr"/>
      <c r="P37" s="16" t="inlineStr"/>
      <c r="Q37" s="16" t="inlineStr"/>
    </row>
    <row r="38">
      <c r="A38" s="18" t="inlineStr">
        <is>
          <t>MFG-044</t>
        </is>
      </c>
      <c r="B38" s="19" t="inlineStr">
        <is>
          <t>Branch &amp; Tenant</t>
        </is>
      </c>
      <c r="C38" s="19" t="inlineStr">
        <is>
          <t>Cross-tenant BOM and WO access denied</t>
        </is>
      </c>
      <c r="D38" s="8" t="inlineStr">
        <is>
          <t>Permission</t>
        </is>
      </c>
      <c r="E38" s="8" t="inlineStr">
        <is>
          <t>High</t>
        </is>
      </c>
      <c r="F38" s="19" t="inlineStr">
        <is>
          <t>ORG_ADMIN of Tenant A. BOMs/WOs in Tenant B.</t>
        </is>
      </c>
      <c r="G38" s="19" t="inlineStr">
        <is>
          <t>1. As ORG_ADMIN of Tenant A, attempt to open a Tenant B BOM uid.
2. Attempt to open a Tenant B WO uid.
3. Attempt WO list with Tenant B companyId.</t>
        </is>
      </c>
      <c r="H38" s="19" t="inlineStr">
        <is>
          <t>Tenant B BOM uid, Tenant B WO uid, Tenant B companyId.</t>
        </is>
      </c>
      <c r="I38" s="19" t="inlineStr">
        <is>
          <t>All attempts return 403 via ScopeGuard. rootadmin can access both tenants (superuser bypass).</t>
        </is>
      </c>
      <c r="J38" s="19" t="inlineStr">
        <is>
          <t>/admin/boms/uid/:uid | /admin/work-orders/uid/:uid</t>
        </is>
      </c>
      <c r="K38" s="19" t="inlineStr">
        <is>
          <t>ORG_ADMIN of Tenant A (scoped)</t>
        </is>
      </c>
      <c r="L38" s="19" t="inlineStr"/>
      <c r="M38" s="8" t="inlineStr">
        <is>
          <t>Not Run</t>
        </is>
      </c>
      <c r="N38" s="8" t="inlineStr"/>
      <c r="O38" s="19" t="inlineStr"/>
      <c r="P38" s="19" t="inlineStr"/>
      <c r="Q38" s="19" t="inlineStr"/>
    </row>
    <row r="39">
      <c r="A39" s="15" t="inlineStr">
        <is>
          <t>MFG-045</t>
        </is>
      </c>
      <c r="B39" s="16" t="inlineStr">
        <is>
          <t>Branch &amp; Tenant</t>
        </is>
      </c>
      <c r="C39" s="16" t="inlineStr">
        <is>
          <t>User assigned to one branch cannot create WO for an unassigned branch</t>
        </is>
      </c>
      <c r="D39" s="17" t="inlineStr">
        <is>
          <t>Permission</t>
        </is>
      </c>
      <c r="E39" s="17" t="inlineStr">
        <is>
          <t>Medium</t>
        </is>
      </c>
      <c r="F39" s="16" t="inlineStr">
        <is>
          <t>User with WORKORDER.MANAGE assigned only to Branch-1 in a multi-branch company.</t>
        </is>
      </c>
      <c r="G39" s="16" t="inlineStr">
        <is>
          <t>1. Create a WO in Branch-1 (assigned) — succeeds.
2. Attempt to create a WO bound to Branch-2 (unassigned).</t>
        </is>
      </c>
      <c r="H39" s="16" t="inlineStr">
        <is>
          <t>Branch-1 (assigned), Branch-2 (unassigned).</t>
        </is>
      </c>
      <c r="I39" s="16" t="inlineStr">
        <is>
          <t>Branch-1 WO creation succeeds. Branch-2 WO creation denied by ScopeGuard. Branch selected via picker by name.</t>
        </is>
      </c>
      <c r="J39" s="16" t="inlineStr">
        <is>
          <t>/admin/work-orders | POST /api/v1/work-orders</t>
        </is>
      </c>
      <c r="K39" s="16" t="inlineStr">
        <is>
          <t>WORKORDER.MANAGE (restricted to Branch-1)</t>
        </is>
      </c>
      <c r="L39" s="16" t="inlineStr"/>
      <c r="M39" s="17" t="inlineStr">
        <is>
          <t>Not Run</t>
        </is>
      </c>
      <c r="N39" s="17" t="inlineStr"/>
      <c r="O39" s="16" t="inlineStr"/>
      <c r="P39" s="16" t="inlineStr"/>
      <c r="Q39" s="16" t="inlineStr"/>
    </row>
    <row r="40">
      <c r="A40" s="18" t="inlineStr">
        <is>
          <t>MFG-046</t>
        </is>
      </c>
      <c r="B40" s="19" t="inlineStr">
        <is>
          <t>BOM API</t>
        </is>
      </c>
      <c r="C40" s="19" t="inlineStr">
        <is>
          <t>BOM multi-level explosion API — MAKE components recursed, BUY components are leaves</t>
        </is>
      </c>
      <c r="D40" s="8" t="inlineStr">
        <is>
          <t>Positive</t>
        </is>
      </c>
      <c r="E40" s="8" t="inlineStr">
        <is>
          <t>Medium</t>
        </is>
      </c>
      <c r="F40" s="19" t="inlineStr">
        <is>
          <t>User has BOM.VIEW. A multi-level BOM exists: parent &gt; MAKE sub-assembly &gt; BUY raw material.</t>
        </is>
      </c>
      <c r="G40" s="19" t="inlineStr">
        <is>
          <t>1. Call GET /api/v1/boms/explode?parentProductUid={uid}&amp;outputQty=5&amp;multiLevel=true&amp;withCost=false.
2. Repeat with multiLevel=false.
3. Repeat with withCost=true&amp;branchUid={uid}.</t>
        </is>
      </c>
      <c r="H40" s="19" t="inlineStr">
        <is>
          <t>outputQty: 5. multiLevel: true then false. withCost: false then true.</t>
        </is>
      </c>
      <c r="I40" s="19" t="inlineStr">
        <is>
          <t>BomExplosionResultDto tree. MAKE components recursed down. BUY components are leaves regardless of any BOM they might have. withCost=true includes cost figures as money strings.</t>
        </is>
      </c>
      <c r="J40" s="19" t="inlineStr">
        <is>
          <t>GET /api/v1/boms/explode</t>
        </is>
      </c>
      <c r="K40" s="19" t="inlineStr">
        <is>
          <t>BOM.VIEW</t>
        </is>
      </c>
      <c r="L40" s="19" t="inlineStr"/>
      <c r="M40" s="8" t="inlineStr">
        <is>
          <t>Not Run</t>
        </is>
      </c>
      <c r="N40" s="8" t="inlineStr"/>
      <c r="O40" s="19" t="inlineStr"/>
      <c r="P40" s="19" t="inlineStr"/>
      <c r="Q40" s="19" t="inlineStr"/>
    </row>
  </sheetData>
  <autoFilter ref="A2:Q40"/>
  <mergeCells count="1">
    <mergeCell ref="A1:Q1"/>
  </mergeCells>
  <dataValidations count="4">
    <dataValidation sqref="D3:D40" showDropDown="0" showInputMessage="0" showErrorMessage="0" allowBlank="1" type="list">
      <formula1>"Positive,Negative,Permission,Edge"</formula1>
    </dataValidation>
    <dataValidation sqref="E3:E40" showDropDown="0" showInputMessage="0" showErrorMessage="0" allowBlank="1" type="list">
      <formula1>"High,Medium,Low"</formula1>
    </dataValidation>
    <dataValidation sqref="M3:M40" showDropDown="0" showInputMessage="0" showErrorMessage="0" allowBlank="1" type="list">
      <formula1>"Not Run,Pass,Fail,Blocked,N/A"</formula1>
    </dataValidation>
    <dataValidation sqref="N3:N40" showDropDown="0" showInputMessage="0" showErrorMessage="0" allowBlank="1" type="list">
      <formula1>"-,Critical,High,Medium,Low"</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37"/>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General Ledger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GL-001</t>
        </is>
      </c>
      <c r="B3" s="16" t="inlineStr">
        <is>
          <t>Chart of Accounts</t>
        </is>
      </c>
      <c r="C3" s="16" t="inlineStr">
        <is>
          <t>List Chart of Accounts — happy path, paginated, company-scoped</t>
        </is>
      </c>
      <c r="D3" s="17" t="inlineStr">
        <is>
          <t>Positive</t>
        </is>
      </c>
      <c r="E3" s="17" t="inlineStr">
        <is>
          <t>High</t>
        </is>
      </c>
      <c r="F3" s="16" t="inlineStr">
        <is>
          <t>Logged in as ACCOUNTANT (GL.VIEW). Company bootstrapped with seeded CoA.</t>
        </is>
      </c>
      <c r="G3" s="16" t="inlineStr">
        <is>
          <t>1. Navigate to /admin/gl/accounts.
2. Confirm table loads with columns: code, name, type badge, normal balance, status.
3. Verify paginator present (app-paginator).
4. Check meta has page/size/totalElements/totalPages/hasNext.</t>
        </is>
      </c>
      <c r="H3" s="16" t="inlineStr">
        <is>
          <t>Default seeded CoA for the active company.</t>
        </is>
      </c>
      <c r="I3" s="16" t="inlineStr">
        <is>
          <t>Table renders account rows. Each row shows accountCode, name, AccountType badge, DEBIT/CREDIT, ACTIVE. ApiResponse envelope with meta. No raw uid in any cell.</t>
        </is>
      </c>
      <c r="J3" s="16" t="inlineStr">
        <is>
          <t>/admin/gl/accounts</t>
        </is>
      </c>
      <c r="K3" s="16" t="inlineStr">
        <is>
          <t>GL.VIEW</t>
        </is>
      </c>
      <c r="L3" s="16" t="inlineStr"/>
      <c r="M3" s="17" t="inlineStr">
        <is>
          <t>Not Run</t>
        </is>
      </c>
      <c r="N3" s="17" t="inlineStr"/>
      <c r="O3" s="16" t="inlineStr"/>
      <c r="P3" s="16" t="inlineStr"/>
      <c r="Q3" s="16" t="inlineStr"/>
    </row>
    <row r="4">
      <c r="A4" s="18" t="inlineStr">
        <is>
          <t>GL-002</t>
        </is>
      </c>
      <c r="B4" s="19" t="inlineStr">
        <is>
          <t>Chart of Accounts</t>
        </is>
      </c>
      <c r="C4" s="19" t="inlineStr">
        <is>
          <t>Create ASSET account — normal balance derived as DEBIT</t>
        </is>
      </c>
      <c r="D4" s="8" t="inlineStr">
        <is>
          <t>Positive</t>
        </is>
      </c>
      <c r="E4" s="8" t="inlineStr">
        <is>
          <t>High</t>
        </is>
      </c>
      <c r="F4" s="19" t="inlineStr">
        <is>
          <t>Logged in as ACCOUNTANT (GL.MANAGE). Active company exists.</t>
        </is>
      </c>
      <c r="G4" s="19" t="inlineStr">
        <is>
          <t>1. Click 'Add account'.
2. Enter code '1100', name 'Bank - Operating', type = ASSET.
3. Submit.
4. Read the returned row.</t>
        </is>
      </c>
      <c r="H4" s="19" t="inlineStr">
        <is>
          <t>code=1100, name='Bank - Operating', accountType=ASSET</t>
        </is>
      </c>
      <c r="I4" s="19" t="inlineStr">
        <is>
          <t>HTTP 201. Row appears with normalBalance=DEBIT (derived server-side). status=ACTIVE. Duplicate code for same company must return 4xx.</t>
        </is>
      </c>
      <c r="J4" s="19" t="inlineStr">
        <is>
          <t>/admin/gl/accounts</t>
        </is>
      </c>
      <c r="K4" s="19" t="inlineStr">
        <is>
          <t>GL.MANAGE</t>
        </is>
      </c>
      <c r="L4" s="19" t="inlineStr"/>
      <c r="M4" s="8" t="inlineStr">
        <is>
          <t>Not Run</t>
        </is>
      </c>
      <c r="N4" s="8" t="inlineStr"/>
      <c r="O4" s="19" t="inlineStr"/>
      <c r="P4" s="19" t="inlineStr"/>
      <c r="Q4" s="19" t="inlineStr"/>
    </row>
    <row r="5">
      <c r="A5" s="15" t="inlineStr">
        <is>
          <t>GL-003</t>
        </is>
      </c>
      <c r="B5" s="16" t="inlineStr">
        <is>
          <t>Chart of Accounts</t>
        </is>
      </c>
      <c r="C5" s="16" t="inlineStr">
        <is>
          <t>Create LIABILITY account — normal balance CREDIT</t>
        </is>
      </c>
      <c r="D5" s="17" t="inlineStr">
        <is>
          <t>Positive</t>
        </is>
      </c>
      <c r="E5" s="17" t="inlineStr">
        <is>
          <t>Medium</t>
        </is>
      </c>
      <c r="F5" s="16" t="inlineStr">
        <is>
          <t>Logged in as ACCOUNTANT (GL.MANAGE).</t>
        </is>
      </c>
      <c r="G5" s="16" t="inlineStr">
        <is>
          <t>1. Add account code '2100', name 'VAT Payable', type=LIABILITY.
2. Submit.
3. Check normalBalance.</t>
        </is>
      </c>
      <c r="H5" s="16" t="inlineStr">
        <is>
          <t>code=2100, name='VAT Payable', accountType=LIABILITY</t>
        </is>
      </c>
      <c r="I5" s="16" t="inlineStr">
        <is>
          <t>normalBalance=CREDIT derived server-side. status=ACTIVE.</t>
        </is>
      </c>
      <c r="J5" s="16" t="inlineStr">
        <is>
          <t>/admin/gl/accounts</t>
        </is>
      </c>
      <c r="K5" s="16" t="inlineStr">
        <is>
          <t>GL.MANAGE</t>
        </is>
      </c>
      <c r="L5" s="16" t="inlineStr"/>
      <c r="M5" s="17" t="inlineStr">
        <is>
          <t>Not Run</t>
        </is>
      </c>
      <c r="N5" s="17" t="inlineStr"/>
      <c r="O5" s="16" t="inlineStr"/>
      <c r="P5" s="16" t="inlineStr"/>
      <c r="Q5" s="16" t="inlineStr"/>
    </row>
    <row r="6">
      <c r="A6" s="18" t="inlineStr">
        <is>
          <t>GL-004</t>
        </is>
      </c>
      <c r="B6" s="19" t="inlineStr">
        <is>
          <t>Chart of Accounts</t>
        </is>
      </c>
      <c r="C6" s="19" t="inlineStr">
        <is>
          <t>Create EQUITY account (CREDIT) and INCOME account (CREDIT) — normal balance coverage</t>
        </is>
      </c>
      <c r="D6" s="8" t="inlineStr">
        <is>
          <t>Positive</t>
        </is>
      </c>
      <c r="E6" s="8" t="inlineStr">
        <is>
          <t>Medium</t>
        </is>
      </c>
      <c r="F6" s="19" t="inlineStr">
        <is>
          <t>Logged in as ACCOUNTANT (GL.MANAGE).</t>
        </is>
      </c>
      <c r="G6" s="19" t="inlineStr">
        <is>
          <t>1. Add code '3900', name 'Retained Earnings', type=EQUITY. Submit.
2. Add code '4000', name 'Sales Revenue', type=INCOME. Submit.</t>
        </is>
      </c>
      <c r="H6" s="19" t="inlineStr">
        <is>
          <t>EQUITY code=3900; INCOME code=4000</t>
        </is>
      </c>
      <c r="I6" s="19" t="inlineStr">
        <is>
          <t>Both return normalBalance=CREDIT. EQUITY account needed for year-end close config.</t>
        </is>
      </c>
      <c r="J6" s="19" t="inlineStr">
        <is>
          <t>/admin/gl/accounts</t>
        </is>
      </c>
      <c r="K6" s="19" t="inlineStr">
        <is>
          <t>GL.MANAGE</t>
        </is>
      </c>
      <c r="L6" s="19" t="inlineStr"/>
      <c r="M6" s="8" t="inlineStr">
        <is>
          <t>Not Run</t>
        </is>
      </c>
      <c r="N6" s="8" t="inlineStr"/>
      <c r="O6" s="19" t="inlineStr"/>
      <c r="P6" s="19" t="inlineStr"/>
      <c r="Q6" s="19" t="inlineStr"/>
    </row>
    <row r="7">
      <c r="A7" s="15" t="inlineStr">
        <is>
          <t>GL-005</t>
        </is>
      </c>
      <c r="B7" s="16" t="inlineStr">
        <is>
          <t>Chart of Accounts</t>
        </is>
      </c>
      <c r="C7" s="16" t="inlineStr">
        <is>
          <t>Deactivate an account — excluded from journal pickers thereafter</t>
        </is>
      </c>
      <c r="D7" s="17" t="inlineStr">
        <is>
          <t>Positive</t>
        </is>
      </c>
      <c r="E7" s="17" t="inlineStr">
        <is>
          <t>High</t>
        </is>
      </c>
      <c r="F7" s="16" t="inlineStr">
        <is>
          <t>An active account with no postings exists.</t>
        </is>
      </c>
      <c r="G7" s="16" t="inlineStr">
        <is>
          <t>1. Click 'Deactivate' on the account row.
2. Confirm status change.
3. Navigate to /admin/gl/journals/post and open the account dropdown for a line.
4. Confirm the deactivated account is absent.</t>
        </is>
      </c>
      <c r="H7" s="16" t="inlineStr">
        <is>
          <t>Any active EXPENSE account with zero postings.</t>
        </is>
      </c>
      <c r="I7" s="16" t="inlineStr">
        <is>
          <t>Account becomes inactive. Not selectable in the journal form (listAllActiveAccounts filter). API POST to inactive account uid returns 4xx (BR-GL-04).</t>
        </is>
      </c>
      <c r="J7" s="16" t="inlineStr">
        <is>
          <t>/admin/gl/accounts</t>
        </is>
      </c>
      <c r="K7" s="16" t="inlineStr">
        <is>
          <t>GL.MANAGE</t>
        </is>
      </c>
      <c r="L7" s="16" t="inlineStr"/>
      <c r="M7" s="17" t="inlineStr">
        <is>
          <t>Not Run</t>
        </is>
      </c>
      <c r="N7" s="17" t="inlineStr"/>
      <c r="O7" s="16" t="inlineStr"/>
      <c r="P7" s="16" t="inlineStr"/>
      <c r="Q7" s="16" t="inlineStr"/>
    </row>
    <row r="8">
      <c r="A8" s="18" t="inlineStr">
        <is>
          <t>GL-006</t>
        </is>
      </c>
      <c r="B8" s="19" t="inlineStr">
        <is>
          <t>Chart of Accounts</t>
        </is>
      </c>
      <c r="C8" s="19" t="inlineStr">
        <is>
          <t>GL.VIEW-only role cannot create accounts — button hidden and API 403</t>
        </is>
      </c>
      <c r="D8" s="8" t="inlineStr">
        <is>
          <t>Permission</t>
        </is>
      </c>
      <c r="E8" s="8" t="inlineStr">
        <is>
          <t>High</t>
        </is>
      </c>
      <c r="F8" s="19" t="inlineStr">
        <is>
          <t>Custom role with GL.VIEW only (no GL.MANAGE). Logged in as that user.</t>
        </is>
      </c>
      <c r="G8" s="19" t="inlineStr">
        <is>
          <t>1. Navigate to /admin/gl/accounts.
2. Confirm 'Add account' button is absent.
3. POST directly to /api/v1/gl/accounts with valid payload.</t>
        </is>
      </c>
      <c r="H8" s="19" t="inlineStr">
        <is>
          <t>Custom role: GL.VIEW only.</t>
        </is>
      </c>
      <c r="I8" s="19" t="inlineStr">
        <is>
          <t>UI hides create control. API returns HTTP 403.</t>
        </is>
      </c>
      <c r="J8" s="19" t="inlineStr">
        <is>
          <t>/admin/gl/accounts</t>
        </is>
      </c>
      <c r="K8" s="19" t="inlineStr">
        <is>
          <t>GL.VIEW (denied for GL.MANAGE action)</t>
        </is>
      </c>
      <c r="L8" s="19" t="inlineStr"/>
      <c r="M8" s="8" t="inlineStr">
        <is>
          <t>Not Run</t>
        </is>
      </c>
      <c r="N8" s="8" t="inlineStr"/>
      <c r="O8" s="19" t="inlineStr"/>
      <c r="P8" s="19" t="inlineStr"/>
      <c r="Q8" s="19" t="inlineStr"/>
    </row>
    <row r="9">
      <c r="A9" s="15" t="inlineStr">
        <is>
          <t>GL-007</t>
        </is>
      </c>
      <c r="B9" s="16" t="inlineStr">
        <is>
          <t>Chart of Accounts</t>
        </is>
      </c>
      <c r="C9" s="16" t="inlineStr">
        <is>
          <t>CoA multi-tenant isolation — company-A user cannot read company-B accounts</t>
        </is>
      </c>
      <c r="D9" s="17" t="inlineStr">
        <is>
          <t>Negative</t>
        </is>
      </c>
      <c r="E9" s="17" t="inlineStr">
        <is>
          <t>High</t>
        </is>
      </c>
      <c r="F9" s="16" t="inlineStr">
        <is>
          <t>Two companies A and B each with distinct accounts. User assigned to company A only.</t>
        </is>
      </c>
      <c r="G9" s="16" t="inlineStr">
        <is>
          <t>1. List accounts as company-A user — only A's accounts shown.
2. Call GET /api/v1/gl/accounts?companyId=&lt;B-id&gt;.
3. Call GET /api/v1/gl/accounts/uid/&lt;B-account-uid&gt;.</t>
        </is>
      </c>
      <c r="H9" s="16" t="inlineStr">
        <is>
          <t>Company A accounts; company B account uid.</t>
        </is>
      </c>
      <c r="I9" s="16" t="inlineStr">
        <is>
          <t>Step 1: only A's rows. Step 2: 403 from assertCanActIn. Step 3: 403 scope-denied.</t>
        </is>
      </c>
      <c r="J9" s="16" t="inlineStr">
        <is>
          <t>/admin/gl/accounts</t>
        </is>
      </c>
      <c r="K9" s="16" t="inlineStr">
        <is>
          <t>GL.VIEW</t>
        </is>
      </c>
      <c r="L9" s="16" t="inlineStr"/>
      <c r="M9" s="17" t="inlineStr">
        <is>
          <t>Not Run</t>
        </is>
      </c>
      <c r="N9" s="17" t="inlineStr"/>
      <c r="O9" s="16" t="inlineStr"/>
      <c r="P9" s="16" t="inlineStr"/>
      <c r="Q9" s="16" t="inlineStr"/>
    </row>
    <row r="10">
      <c r="A10" s="18" t="inlineStr">
        <is>
          <t>GL-008</t>
        </is>
      </c>
      <c r="B10" s="19" t="inlineStr">
        <is>
          <t>Manual Journals</t>
        </is>
      </c>
      <c r="C10" s="19" t="inlineStr">
        <is>
          <t>Post a balanced 2-line manual journal — debits equal credits</t>
        </is>
      </c>
      <c r="D10" s="8" t="inlineStr">
        <is>
          <t>Positive</t>
        </is>
      </c>
      <c r="E10" s="8" t="inlineStr">
        <is>
          <t>High</t>
        </is>
      </c>
      <c r="F10" s="19" t="inlineStr">
        <is>
          <t>Two active accounts in an OPEN fiscal period. Logged in as ACCOUNTANT (GL.POST).</t>
        </is>
      </c>
      <c r="G10" s="19" t="inlineStr">
        <is>
          <t>1. Navigate to /admin/gl/journals/post.
2. Enter description 'June accrual'; posting date in an OPEN period.
3. Line 1: account 'Bank - Operating', debit 1000.00.
4. Line 2: account 'Sales Revenue', credit 1000.00.
5. Confirm running totals show Debits=1000, Credits=1000, Difference=0.
6. Click Post.</t>
        </is>
      </c>
      <c r="H10" s="19" t="inlineStr">
        <is>
          <t>DR 1000.00 / CR 1000.00; posting date in current OPEN period.</t>
        </is>
      </c>
      <c r="I10" s="19" t="inlineStr">
        <is>
          <t>HTTP 201. JB-#### batch number in success toast. Entry has sourceType=MANUAL, reversalOfId=null, two balanced lines. Navigate to detail page /admin/gl/journals/uid/{uid}.</t>
        </is>
      </c>
      <c r="J10" s="19" t="inlineStr">
        <is>
          <t>/admin/gl/journals/post</t>
        </is>
      </c>
      <c r="K10" s="19" t="inlineStr">
        <is>
          <t>GL.POST</t>
        </is>
      </c>
      <c r="L10" s="19" t="inlineStr"/>
      <c r="M10" s="8" t="inlineStr">
        <is>
          <t>Not Run</t>
        </is>
      </c>
      <c r="N10" s="8" t="inlineStr"/>
      <c r="O10" s="19" t="inlineStr"/>
      <c r="P10" s="19" t="inlineStr"/>
      <c r="Q10" s="19" t="inlineStr"/>
    </row>
    <row r="11">
      <c r="A11" s="15" t="inlineStr">
        <is>
          <t>GL-009</t>
        </is>
      </c>
      <c r="B11" s="16" t="inlineStr">
        <is>
          <t>Manual Journals</t>
        </is>
      </c>
      <c r="C11" s="16" t="inlineStr">
        <is>
          <t>Reject unbalanced journal — client guard disables Post; server enforces BR-GL-01</t>
        </is>
      </c>
      <c r="D11" s="17" t="inlineStr">
        <is>
          <t>Negative</t>
        </is>
      </c>
      <c r="E11" s="17" t="inlineStr">
        <is>
          <t>High</t>
        </is>
      </c>
      <c r="F11" s="16" t="inlineStr">
        <is>
          <t>Logged in as ACCOUNTANT (GL.POST). OPEN period exists.</t>
        </is>
      </c>
      <c r="G11" s="16" t="inlineStr">
        <is>
          <t>1. Navigate to /admin/gl/journals/post.
2. Enter line1 DR 1000.00, line2 CR 900.00.
3. Observe Difference = 100.00 — 'Post' button remains disabled.
4. Bypass UI: POST unbalanced body directly to /api/v1/gl/journals.</t>
        </is>
      </c>
      <c r="H11" s="16" t="inlineStr">
        <is>
          <t>DR=1000.00, CR=900.00 (difference 100.00).</t>
        </is>
      </c>
      <c r="I11" s="16" t="inlineStr">
        <is>
          <t>UI never enables Post while unbalanced. Direct API call returns 4xx with errors[] 'Journal entry is unbalanced (BR-GL-01)'. Even 0.01 difference must reject.</t>
        </is>
      </c>
      <c r="J11" s="16" t="inlineStr">
        <is>
          <t>/admin/gl/journals/post</t>
        </is>
      </c>
      <c r="K11" s="16" t="inlineStr">
        <is>
          <t>GL.POST</t>
        </is>
      </c>
      <c r="L11" s="16" t="inlineStr"/>
      <c r="M11" s="17" t="inlineStr">
        <is>
          <t>Not Run</t>
        </is>
      </c>
      <c r="N11" s="17" t="inlineStr"/>
      <c r="O11" s="16" t="inlineStr"/>
      <c r="P11" s="16" t="inlineStr"/>
      <c r="Q11" s="16" t="inlineStr"/>
    </row>
    <row r="12">
      <c r="A12" s="18" t="inlineStr">
        <is>
          <t>GL-010</t>
        </is>
      </c>
      <c r="B12" s="19" t="inlineStr">
        <is>
          <t>Manual Journals</t>
        </is>
      </c>
      <c r="C12" s="19" t="inlineStr">
        <is>
          <t>Reject posting into a CLOSED fiscal period — BR-GL-03</t>
        </is>
      </c>
      <c r="D12" s="8" t="inlineStr">
        <is>
          <t>Negative</t>
        </is>
      </c>
      <c r="E12" s="8" t="inlineStr">
        <is>
          <t>High</t>
        </is>
      </c>
      <c r="F12" s="19" t="inlineStr">
        <is>
          <t>A fiscal period that is CLOSED. Balanced journal lines ready.</t>
        </is>
      </c>
      <c r="G12" s="19" t="inlineStr">
        <is>
          <t>1. Close a period (or use an already-closed one).
2. Set posting date inside the closed period.
3. Post a balanced entry.</t>
        </is>
      </c>
      <c r="H12" s="19" t="inlineStr">
        <is>
          <t>Posting date = any date within the closed period.</t>
        </is>
      </c>
      <c r="I12" s="19" t="inlineStr">
        <is>
          <t>Server rejects: no OPEN period resolved for the date. Error surfaced inline. No partial write (transactional rollback).</t>
        </is>
      </c>
      <c r="J12" s="19" t="inlineStr">
        <is>
          <t>/admin/gl/journals/post</t>
        </is>
      </c>
      <c r="K12" s="19" t="inlineStr">
        <is>
          <t>GL.POST</t>
        </is>
      </c>
      <c r="L12" s="19" t="inlineStr"/>
      <c r="M12" s="8" t="inlineStr">
        <is>
          <t>Not Run</t>
        </is>
      </c>
      <c r="N12" s="8" t="inlineStr"/>
      <c r="O12" s="19" t="inlineStr"/>
      <c r="P12" s="19" t="inlineStr"/>
      <c r="Q12" s="19" t="inlineStr"/>
    </row>
    <row r="13">
      <c r="A13" s="15" t="inlineStr">
        <is>
          <t>GL-011</t>
        </is>
      </c>
      <c r="B13" s="16" t="inlineStr">
        <is>
          <t>Manual Journals</t>
        </is>
      </c>
      <c r="C13" s="16" t="inlineStr">
        <is>
          <t>Reject line with both debit and credit amounts — BR-GL-08</t>
        </is>
      </c>
      <c r="D13" s="17" t="inlineStr">
        <is>
          <t>Negative</t>
        </is>
      </c>
      <c r="E13" s="17" t="inlineStr">
        <is>
          <t>High</t>
        </is>
      </c>
      <c r="F13" s="16" t="inlineStr">
        <is>
          <t>Logged in as ACCOUNTANT (GL.POST).</t>
        </is>
      </c>
      <c r="G13" s="16" t="inlineStr">
        <is>
          <t>1. Enter a journal line with DR 500 AND CR 500.
2. Observe UI error.
3. API-post the same line.</t>
        </is>
      </c>
      <c r="H13" s="16" t="inlineStr">
        <is>
          <t>Single line: debitAmount=500, creditAmount=500.</t>
        </is>
      </c>
      <c r="I13" s="16" t="inlineStr">
        <is>
          <t>UI: 'A line cannot have both a debit and a credit amount.' API: 4xx 'must have a positive debit OR a positive credit, not both or neither (BR-GL-08)'. A line with both zero also rejected.</t>
        </is>
      </c>
      <c r="J13" s="16" t="inlineStr">
        <is>
          <t>/admin/gl/journals/post</t>
        </is>
      </c>
      <c r="K13" s="16" t="inlineStr">
        <is>
          <t>GL.POST</t>
        </is>
      </c>
      <c r="L13" s="16" t="inlineStr"/>
      <c r="M13" s="17" t="inlineStr">
        <is>
          <t>Not Run</t>
        </is>
      </c>
      <c r="N13" s="17" t="inlineStr"/>
      <c r="O13" s="16" t="inlineStr"/>
      <c r="P13" s="16" t="inlineStr"/>
      <c r="Q13" s="16" t="inlineStr"/>
    </row>
    <row r="14">
      <c r="A14" s="18" t="inlineStr">
        <is>
          <t>GL-012</t>
        </is>
      </c>
      <c r="B14" s="19" t="inlineStr">
        <is>
          <t>Manual Journals</t>
        </is>
      </c>
      <c r="C14" s="19" t="inlineStr">
        <is>
          <t>Reverse a MANUAL journal — append-only correction, BR-GL-02/C9</t>
        </is>
      </c>
      <c r="D14" s="8" t="inlineStr">
        <is>
          <t>Positive</t>
        </is>
      </c>
      <c r="E14" s="8" t="inlineStr">
        <is>
          <t>High</t>
        </is>
      </c>
      <c r="F14" s="19" t="inlineStr">
        <is>
          <t>A posted MANUAL journal in an OPEN period. Logged in as ACCOUNTANT (GL.POST).</t>
        </is>
      </c>
      <c r="G14" s="19" t="inlineStr">
        <is>
          <t>1. Open the journal detail at /admin/gl/journals/uid/:uid.
2. Click 'Reverse'.
3. Read the new reversing entry.</t>
        </is>
      </c>
      <c r="H14" s="19" t="inlineStr">
        <is>
          <t>Original entry JB-0001 with DR Bank 1000 / CR Revenue 1000.</t>
        </is>
      </c>
      <c r="I14" s="19" t="inlineStr">
        <is>
          <t>HTTP 201. New entry: lines swapped (DR Revenue 1000 / CR Bank 1000). sourceType=MANUAL. reversalOfId = original id. Original entry unchanged (append-only). Both entries visible in journals list.</t>
        </is>
      </c>
      <c r="J14" s="19" t="inlineStr">
        <is>
          <t>/admin/gl/journals/uid/:uid</t>
        </is>
      </c>
      <c r="K14" s="19" t="inlineStr">
        <is>
          <t>GL.POST</t>
        </is>
      </c>
      <c r="L14" s="19" t="inlineStr"/>
      <c r="M14" s="8" t="inlineStr">
        <is>
          <t>Not Run</t>
        </is>
      </c>
      <c r="N14" s="8" t="inlineStr"/>
      <c r="O14" s="19" t="inlineStr"/>
      <c r="P14" s="19" t="inlineStr"/>
      <c r="Q14" s="19" t="inlineStr"/>
    </row>
    <row r="15">
      <c r="A15" s="15" t="inlineStr">
        <is>
          <t>GL-013</t>
        </is>
      </c>
      <c r="B15" s="16" t="inlineStr">
        <is>
          <t>Manual Journals</t>
        </is>
      </c>
      <c r="C15" s="16" t="inlineStr">
        <is>
          <t>Reverse button hidden for system-sourced entries (SALES, OPENING_BALANCE)</t>
        </is>
      </c>
      <c r="D15" s="17" t="inlineStr">
        <is>
          <t>Negative</t>
        </is>
      </c>
      <c r="E15" s="17" t="inlineStr">
        <is>
          <t>Medium</t>
        </is>
      </c>
      <c r="F15" s="16" t="inlineStr">
        <is>
          <t>A journal with sourceType=SALES exists (auto-posted from a sales invoice).</t>
        </is>
      </c>
      <c r="G15" s="16" t="inlineStr">
        <is>
          <t>1. Open a SALES-sourced journal detail.
2. Inspect action controls.</t>
        </is>
      </c>
      <c r="H15" s="16" t="inlineStr">
        <is>
          <t>Journal with sourceType=SALES.</t>
        </is>
      </c>
      <c r="I15" s="16" t="inlineStr">
        <is>
          <t>No 'Reverse' button rendered. Only MANUAL entries are reversible via this screen. OPENING_BALANCE and YEAR_END_CLOSE entries likewise show no Reverse button.</t>
        </is>
      </c>
      <c r="J15" s="16" t="inlineStr">
        <is>
          <t>/admin/gl/journals/uid/:uid</t>
        </is>
      </c>
      <c r="K15" s="16" t="inlineStr">
        <is>
          <t>GL.POST</t>
        </is>
      </c>
      <c r="L15" s="16" t="inlineStr"/>
      <c r="M15" s="17" t="inlineStr">
        <is>
          <t>Not Run</t>
        </is>
      </c>
      <c r="N15" s="17" t="inlineStr"/>
      <c r="O15" s="16" t="inlineStr"/>
      <c r="P15" s="16" t="inlineStr"/>
      <c r="Q15" s="16" t="inlineStr"/>
    </row>
    <row r="16">
      <c r="A16" s="18" t="inlineStr">
        <is>
          <t>GL-014</t>
        </is>
      </c>
      <c r="B16" s="19" t="inlineStr">
        <is>
          <t>Manual Journals</t>
        </is>
      </c>
      <c r="C16" s="19" t="inlineStr">
        <is>
          <t>GL.VIEW-only user cannot post or reverse — nav/route forbidden, API 403</t>
        </is>
      </c>
      <c r="D16" s="8" t="inlineStr">
        <is>
          <t>Permission</t>
        </is>
      </c>
      <c r="E16" s="8" t="inlineStr">
        <is>
          <t>High</t>
        </is>
      </c>
      <c r="F16" s="19" t="inlineStr">
        <is>
          <t>Custom role with GL.VIEW only. Logged in as that user.</t>
        </is>
      </c>
      <c r="G16" s="19" t="inlineStr">
        <is>
          <t>1. Attempt to navigate to /admin/gl/journals/post.
2. Open a MANUAL journal detail — confirm Reverse button absent.
3. POST to /api/v1/gl/journals directly.
4. POST to /api/v1/gl/journals/uid/{uid}/reverse directly.</t>
        </is>
      </c>
      <c r="H16" s="19" t="inlineStr">
        <is>
          <t>GL.VIEW only custom role.</t>
        </is>
      </c>
      <c r="I16" s="19" t="inlineStr">
        <is>
          <t>Route /journals/post is forbidden (requirePermission guard). Reverse button absent. Both API calls return 403.</t>
        </is>
      </c>
      <c r="J16" s="19" t="inlineStr">
        <is>
          <t>/admin/gl/journals/post</t>
        </is>
      </c>
      <c r="K16" s="19" t="inlineStr">
        <is>
          <t>GL.VIEW (denied for GL.POST action)</t>
        </is>
      </c>
      <c r="L16" s="19" t="inlineStr"/>
      <c r="M16" s="8" t="inlineStr">
        <is>
          <t>Not Run</t>
        </is>
      </c>
      <c r="N16" s="8" t="inlineStr"/>
      <c r="O16" s="19" t="inlineStr"/>
      <c r="P16" s="19" t="inlineStr"/>
      <c r="Q16" s="19" t="inlineStr"/>
    </row>
    <row r="17">
      <c r="A17" s="15" t="inlineStr">
        <is>
          <t>GL-015</t>
        </is>
      </c>
      <c r="B17" s="16" t="inlineStr">
        <is>
          <t>Fiscal Calendar</t>
        </is>
      </c>
      <c r="C17" s="16" t="inlineStr">
        <is>
          <t>Open a new fiscal year — creates 12 monthly periods all OPEN</t>
        </is>
      </c>
      <c r="D17" s="17" t="inlineStr">
        <is>
          <t>Positive</t>
        </is>
      </c>
      <c r="E17" s="17" t="inlineStr">
        <is>
          <t>High</t>
        </is>
      </c>
      <c r="F17" s="16" t="inlineStr">
        <is>
          <t>Logged in as ACCOUNTANT (GL.PERIOD.CLOSE). No duplicate yearCode for this company.</t>
        </is>
      </c>
      <c r="G17" s="16" t="inlineStr">
        <is>
          <t>1. Navigate to /admin/gl/periods.
2. Click 'Open fiscal year'.
3. Enter yearCode 'FY2027', startMonth=1, calendarYear=2027.
4. Submit.</t>
        </is>
      </c>
      <c r="H17" s="16" t="inlineStr">
        <is>
          <t>yearCode=FY2027, startMonth=1, calendarYear=2027.</t>
        </is>
      </c>
      <c r="I17" s="16" t="inlineStr">
        <is>
          <t>HTTP 201. New FiscalYearDto status=OPEN. 12 monthly periods created Jan-Dec 2027, each OPEN. Year appears in years list.</t>
        </is>
      </c>
      <c r="J17" s="16" t="inlineStr">
        <is>
          <t>/admin/gl/periods</t>
        </is>
      </c>
      <c r="K17" s="16" t="inlineStr">
        <is>
          <t>GL.PERIOD.CLOSE</t>
        </is>
      </c>
      <c r="L17" s="16" t="inlineStr"/>
      <c r="M17" s="17" t="inlineStr">
        <is>
          <t>Not Run</t>
        </is>
      </c>
      <c r="N17" s="17" t="inlineStr"/>
      <c r="O17" s="16" t="inlineStr"/>
      <c r="P17" s="16" t="inlineStr"/>
      <c r="Q17" s="16" t="inlineStr"/>
    </row>
    <row r="18">
      <c r="A18" s="18" t="inlineStr">
        <is>
          <t>GL-016</t>
        </is>
      </c>
      <c r="B18" s="19" t="inlineStr">
        <is>
          <t>Fiscal Calendar</t>
        </is>
      </c>
      <c r="C18" s="19" t="inlineStr">
        <is>
          <t>Close a fiscal period (OPEN → CLOSED) — subsequent journal posts rejected</t>
        </is>
      </c>
      <c r="D18" s="8" t="inlineStr">
        <is>
          <t>Positive</t>
        </is>
      </c>
      <c r="E18" s="8" t="inlineStr">
        <is>
          <t>High</t>
        </is>
      </c>
      <c r="F18" s="19" t="inlineStr">
        <is>
          <t>An OPEN fiscal period exists. Logged in as ACCOUNTANT (GL.PERIOD.CLOSE).</t>
        </is>
      </c>
      <c r="G18" s="19" t="inlineStr">
        <is>
          <t>1. Click 'Close' on an OPEN period row.
2. Confirm toast 'Period N closed'.
3. Attempt to post a balanced journal with a date inside this period.</t>
        </is>
      </c>
      <c r="H18" s="19" t="inlineStr">
        <is>
          <t>An OPEN period for the current company.</t>
        </is>
      </c>
      <c r="I18" s="19" t="inlineStr">
        <is>
          <t>Period status → CLOSED. closedAt stamped. Journal post into the closed period rejected (BR-GL-03). Closing an already-CLOSED period → 409 'already CLOSED'.</t>
        </is>
      </c>
      <c r="J18" s="19" t="inlineStr">
        <is>
          <t>/admin/gl/periods</t>
        </is>
      </c>
      <c r="K18" s="19" t="inlineStr">
        <is>
          <t>GL.PERIOD.CLOSE</t>
        </is>
      </c>
      <c r="L18" s="19" t="inlineStr"/>
      <c r="M18" s="8" t="inlineStr">
        <is>
          <t>Not Run</t>
        </is>
      </c>
      <c r="N18" s="8" t="inlineStr"/>
      <c r="O18" s="19" t="inlineStr"/>
      <c r="P18" s="19" t="inlineStr"/>
      <c r="Q18" s="19" t="inlineStr"/>
    </row>
    <row r="19">
      <c r="A19" s="15" t="inlineStr">
        <is>
          <t>GL-017</t>
        </is>
      </c>
      <c r="B19" s="16" t="inlineStr">
        <is>
          <t>Fiscal Calendar</t>
        </is>
      </c>
      <c r="C19" s="16" t="inlineStr">
        <is>
          <t>Reopen a CLOSED fiscal period (CLOSED → OPEN)</t>
        </is>
      </c>
      <c r="D19" s="17" t="inlineStr">
        <is>
          <t>Positive</t>
        </is>
      </c>
      <c r="E19" s="17" t="inlineStr">
        <is>
          <t>High</t>
        </is>
      </c>
      <c r="F19" s="16" t="inlineStr">
        <is>
          <t>A CLOSED fiscal period. GL.PERIOD.CLOSE permission.</t>
        </is>
      </c>
      <c r="G19" s="16" t="inlineStr">
        <is>
          <t>1. Click 'Reopen' on a CLOSED period row.
2. Post a journal with a date in the reopened period.</t>
        </is>
      </c>
      <c r="H19" s="16" t="inlineStr">
        <is>
          <t>Previously closed period.</t>
        </is>
      </c>
      <c r="I19" s="16" t="inlineStr">
        <is>
          <t>Status → OPEN. closedAt cleared. Journal posting into the period works again. Reopening an already-OPEN period → 409 'already OPEN'.</t>
        </is>
      </c>
      <c r="J19" s="16" t="inlineStr">
        <is>
          <t>/admin/gl/periods</t>
        </is>
      </c>
      <c r="K19" s="16" t="inlineStr">
        <is>
          <t>GL.PERIOD.CLOSE</t>
        </is>
      </c>
      <c r="L19" s="16" t="inlineStr"/>
      <c r="M19" s="17" t="inlineStr">
        <is>
          <t>Not Run</t>
        </is>
      </c>
      <c r="N19" s="17" t="inlineStr"/>
      <c r="O19" s="16" t="inlineStr"/>
      <c r="P19" s="16" t="inlineStr"/>
      <c r="Q19" s="16" t="inlineStr"/>
    </row>
    <row r="20">
      <c r="A20" s="18" t="inlineStr">
        <is>
          <t>GL-018</t>
        </is>
      </c>
      <c r="B20" s="19" t="inlineStr">
        <is>
          <t>Trial Balance</t>
        </is>
      </c>
      <c r="C20" s="19" t="inlineStr">
        <is>
          <t>Trial balance footer: totalDebits == totalCredits (balanced books)</t>
        </is>
      </c>
      <c r="D20" s="8" t="inlineStr">
        <is>
          <t>Positive</t>
        </is>
      </c>
      <c r="E20" s="8" t="inlineStr">
        <is>
          <t>High</t>
        </is>
      </c>
      <c r="F20" s="19" t="inlineStr">
        <is>
          <t>At least one balanced posted journal. GL.VIEW permission.</t>
        </is>
      </c>
      <c r="G20" s="19" t="inlineStr">
        <is>
          <t>1. Navigate to /admin/gl/trial-balance.
2. Select company.
3. Read footer totals.</t>
        </is>
      </c>
      <c r="H20" s="19" t="inlineStr">
        <is>
          <t>Company with at least one posted balanced journal.</t>
        </is>
      </c>
      <c r="I20" s="19" t="inlineStr">
        <is>
          <t>Rows show accountCode, name, totalDebit, totalCredit, net. Footer totalDebits == totalCredits. 'Balanced' indicator true. Rows grouped by AccountType in order ASSET, LIABILITY, EQUITY, INCOME, EXPENSE.</t>
        </is>
      </c>
      <c r="J20" s="19" t="inlineStr">
        <is>
          <t>/admin/gl/trial-balance</t>
        </is>
      </c>
      <c r="K20" s="19" t="inlineStr">
        <is>
          <t>GL.VIEW</t>
        </is>
      </c>
      <c r="L20" s="19" t="inlineStr"/>
      <c r="M20" s="8" t="inlineStr">
        <is>
          <t>Not Run</t>
        </is>
      </c>
      <c r="N20" s="8" t="inlineStr"/>
      <c r="O20" s="19" t="inlineStr"/>
      <c r="P20" s="19" t="inlineStr"/>
      <c r="Q20" s="19" t="inlineStr"/>
    </row>
    <row r="21">
      <c r="A21" s="15" t="inlineStr">
        <is>
          <t>GL-019</t>
        </is>
      </c>
      <c r="B21" s="16" t="inlineStr">
        <is>
          <t>Trial Balance</t>
        </is>
      </c>
      <c r="C21" s="16" t="inlineStr">
        <is>
          <t>Trial balance period filter — known FE/BE contract gap G1</t>
        </is>
      </c>
      <c r="D21" s="17" t="inlineStr">
        <is>
          <t>Negative</t>
        </is>
      </c>
      <c r="E21" s="17" t="inlineStr">
        <is>
          <t>High</t>
        </is>
      </c>
      <c r="F21" s="16" t="inlineStr">
        <is>
          <t>Postings spanning at least 2 periods. GL.VIEW permission.</t>
        </is>
      </c>
      <c r="G21" s="16" t="inlineStr">
        <is>
          <t>1. In the UI pick a period in the period &lt;select&gt; and observe the network request.
2. Call GET /api/v1/gl/trial-balance/period?companyId=&lt;id&gt;&amp;periodId=&lt;numeric-period-id&gt; directly with the correct numeric id.
3. Compare the API result vs the UI request.</t>
        </is>
      </c>
      <c r="H21" s="16" t="inlineStr">
        <is>
          <t>Two periods with different posting amounts.</t>
        </is>
      </c>
      <c r="I21" s="16" t="inlineStr">
        <is>
          <t>API (direct) returns trial balance limited to the chosen period. UI is expected to send periodUid instead of numeric periodId, causing the filter to be ignored — capture as defect G1 if the UI result equals the unfiltered total.</t>
        </is>
      </c>
      <c r="J21" s="16" t="inlineStr">
        <is>
          <t>/admin/gl/trial-balance</t>
        </is>
      </c>
      <c r="K21" s="16" t="inlineStr">
        <is>
          <t>GL.VIEW</t>
        </is>
      </c>
      <c r="L21" s="16" t="inlineStr"/>
      <c r="M21" s="17" t="inlineStr">
        <is>
          <t>Not Run</t>
        </is>
      </c>
      <c r="N21" s="17" t="inlineStr"/>
      <c r="O21" s="16" t="inlineStr"/>
      <c r="P21" s="16" t="inlineStr"/>
      <c r="Q21" s="16" t="inlineStr"/>
    </row>
    <row r="22">
      <c r="A22" s="18" t="inlineStr">
        <is>
          <t>GL-020</t>
        </is>
      </c>
      <c r="B22" s="19" t="inlineStr">
        <is>
          <t>GL Posting Config</t>
        </is>
      </c>
      <c r="C22" s="19" t="inlineStr">
        <is>
          <t>Map RETAINED_EARNINGS posting account — required for year-end close</t>
        </is>
      </c>
      <c r="D22" s="8" t="inlineStr">
        <is>
          <t>Positive</t>
        </is>
      </c>
      <c r="E22" s="8" t="inlineStr">
        <is>
          <t>High</t>
        </is>
      </c>
      <c r="F22" s="19" t="inlineStr">
        <is>
          <t>A '3900 Retained Earnings' EQUITY account exists. GL.MANAGE permission.</t>
        </is>
      </c>
      <c r="G22" s="19" t="inlineStr">
        <is>
          <t>1. Navigate to /admin/gl/config.
2. Find the RETAINED_EARNINGS key row.
3. Click 'Set'. Pick account '3900 - Retained Earnings' from the picker by name.
4. Save.</t>
        </is>
      </c>
      <c r="H22" s="19" t="inlineStr">
        <is>
          <t>configKey=RETAINED_EARNINGS; account '3900 Retained Earnings' (EQUITY type).</t>
        </is>
      </c>
      <c r="I22" s="19" t="inlineStr">
        <is>
          <t>Mapping persisted. Row shows the new account code/name. Success toast. Only active accounts appear in the picker.</t>
        </is>
      </c>
      <c r="J22" s="19" t="inlineStr">
        <is>
          <t>/admin/gl/config</t>
        </is>
      </c>
      <c r="K22" s="19" t="inlineStr">
        <is>
          <t>GL.MANAGE</t>
        </is>
      </c>
      <c r="L22" s="19" t="inlineStr"/>
      <c r="M22" s="8" t="inlineStr">
        <is>
          <t>Not Run</t>
        </is>
      </c>
      <c r="N22" s="8" t="inlineStr"/>
      <c r="O22" s="19" t="inlineStr"/>
      <c r="P22" s="19" t="inlineStr"/>
      <c r="Q22" s="19" t="inlineStr"/>
    </row>
    <row r="23">
      <c r="A23" s="15" t="inlineStr">
        <is>
          <t>GL-021</t>
        </is>
      </c>
      <c r="B23" s="16" t="inlineStr">
        <is>
          <t>GL Posting Config</t>
        </is>
      </c>
      <c r="C23" s="16" t="inlineStr">
        <is>
          <t>Map all four v1 sales keys: SALES_REVENUE, VAT_PAYABLE, ACCOUNTS_RECEIVABLE, CASH</t>
        </is>
      </c>
      <c r="D23" s="17" t="inlineStr">
        <is>
          <t>Positive</t>
        </is>
      </c>
      <c r="E23" s="17" t="inlineStr">
        <is>
          <t>High</t>
        </is>
      </c>
      <c r="F23" s="16" t="inlineStr">
        <is>
          <t>Appropriate ASSET/INCOME/LIABILITY accounts exist. GL.MANAGE permission.</t>
        </is>
      </c>
      <c r="G23" s="16" t="inlineStr">
        <is>
          <t>1. Navigate to /admin/gl/config.
2. Set SALES_REVENUE to an INCOME account.
3. Set VAT_PAYABLE to a LIABILITY account.
4. Set ACCOUNTS_RECEIVABLE to an ASSET account.
5. Set CASH to an ASSET account.</t>
        </is>
      </c>
      <c r="H23" s="16" t="inlineStr">
        <is>
          <t>Four distinct accounts of the correct types.</t>
        </is>
      </c>
      <c r="I23" s="16" t="inlineStr">
        <is>
          <t>All four mappings saved. Re-setting an existing key overwrites the prior mapping (idempotent set). These drive sales auto-posting.</t>
        </is>
      </c>
      <c r="J23" s="16" t="inlineStr">
        <is>
          <t>/admin/gl/config</t>
        </is>
      </c>
      <c r="K23" s="16" t="inlineStr">
        <is>
          <t>GL.MANAGE</t>
        </is>
      </c>
      <c r="L23" s="16" t="inlineStr"/>
      <c r="M23" s="17" t="inlineStr">
        <is>
          <t>Not Run</t>
        </is>
      </c>
      <c r="N23" s="17" t="inlineStr"/>
      <c r="O23" s="16" t="inlineStr"/>
      <c r="P23" s="16" t="inlineStr"/>
      <c r="Q23" s="16" t="inlineStr"/>
    </row>
    <row r="24">
      <c r="A24" s="18" t="inlineStr">
        <is>
          <t>GL-022</t>
        </is>
      </c>
      <c r="B24" s="19" t="inlineStr">
        <is>
          <t>Year-End Close</t>
        </is>
      </c>
      <c r="C24" s="19" t="inlineStr">
        <is>
          <t>Close a fiscal year — net profit credited to Retained Earnings</t>
        </is>
      </c>
      <c r="D24" s="8" t="inlineStr">
        <is>
          <t>Positive</t>
        </is>
      </c>
      <c r="E24" s="8" t="inlineStr">
        <is>
          <t>High</t>
        </is>
      </c>
      <c r="F24" s="19" t="inlineStr">
        <is>
          <t>An OPEN year with INCOME &gt; EXPENSE. RETAINED_EARNINGS gl_config mapped. Prior year CLOSED or absent. GL.YEAR.CLOSE permission.</t>
        </is>
      </c>
      <c r="G24" s="19" t="inlineStr">
        <is>
          <t>1. Navigate to /admin/gl/year-end.
2. Click 'Close' on the OPEN year.
3. Read the confirmation; confirm.
4. Inspect the resulting closing journal and year status.</t>
        </is>
      </c>
      <c r="H24" s="19" t="inlineStr">
        <is>
          <t>Company with net profit for the year. RETAINED_EARNINGS mapped to account 3900.</t>
        </is>
      </c>
      <c r="I24" s="19" t="inlineStr">
        <is>
          <t>YEAR_END_CLOSE closing journal posted zeroing P&amp;L accounts and crediting 3900 with net profit. All year periods auto-close. Year status → CLOSED with closedAt, closedBy, closingJournalUid set. Toast 'Closing journal posted to Retained Earnings.'</t>
        </is>
      </c>
      <c r="J24" s="19" t="inlineStr">
        <is>
          <t>/admin/gl/year-end</t>
        </is>
      </c>
      <c r="K24" s="19" t="inlineStr">
        <is>
          <t>GL.YEAR.CLOSE</t>
        </is>
      </c>
      <c r="L24" s="19" t="inlineStr"/>
      <c r="M24" s="8" t="inlineStr">
        <is>
          <t>Not Run</t>
        </is>
      </c>
      <c r="N24" s="8" t="inlineStr"/>
      <c r="O24" s="19" t="inlineStr"/>
      <c r="P24" s="19" t="inlineStr"/>
      <c r="Q24" s="19" t="inlineStr"/>
    </row>
    <row r="25">
      <c r="A25" s="15" t="inlineStr">
        <is>
          <t>GL-023</t>
        </is>
      </c>
      <c r="B25" s="16" t="inlineStr">
        <is>
          <t>Year-End Close</t>
        </is>
      </c>
      <c r="C25" s="16" t="inlineStr">
        <is>
          <t>Close fiscal year — illegal transitions rejected (BR-CLOSE-04, BR-CLOSE-05)</t>
        </is>
      </c>
      <c r="D25" s="17" t="inlineStr">
        <is>
          <t>Negative</t>
        </is>
      </c>
      <c r="E25" s="17" t="inlineStr">
        <is>
          <t>High</t>
        </is>
      </c>
      <c r="F25" s="16" t="inlineStr">
        <is>
          <t>Various year states: already CLOSED; year with no periods; prior year still OPEN.</t>
        </is>
      </c>
      <c r="G25" s="16" t="inlineStr">
        <is>
          <t>1. Attempt to close an already-CLOSED year.
2. Attempt to close a year with no periods.
3. Attempt to close a year whose immediately-prior year is still OPEN.</t>
        </is>
      </c>
      <c r="H25" s="16" t="inlineStr">
        <is>
          <t>Three separate scenarios each exercising one guard.</t>
        </is>
      </c>
      <c r="I25" s="16" t="inlineStr">
        <is>
          <t>1 → 409 'already CLOSED'. 2 → 409 'has no periods'. 3 → 409 'prior fiscal year must be CLOSED first'. No partial posting on any guard failure.</t>
        </is>
      </c>
      <c r="J25" s="16" t="inlineStr">
        <is>
          <t>/admin/gl/year-end</t>
        </is>
      </c>
      <c r="K25" s="16" t="inlineStr">
        <is>
          <t>GL.YEAR.CLOSE</t>
        </is>
      </c>
      <c r="L25" s="16" t="inlineStr"/>
      <c r="M25" s="17" t="inlineStr">
        <is>
          <t>Not Run</t>
        </is>
      </c>
      <c r="N25" s="17" t="inlineStr"/>
      <c r="O25" s="16" t="inlineStr"/>
      <c r="P25" s="16" t="inlineStr"/>
      <c r="Q25" s="16" t="inlineStr"/>
    </row>
    <row r="26">
      <c r="A26" s="18" t="inlineStr">
        <is>
          <t>GL-024</t>
        </is>
      </c>
      <c r="B26" s="19" t="inlineStr">
        <is>
          <t>Year-End Close</t>
        </is>
      </c>
      <c r="C26" s="19" t="inlineStr">
        <is>
          <t>Reopen a fiscal year — closing journal reversed, only most-recently-closed allowed</t>
        </is>
      </c>
      <c r="D26" s="8" t="inlineStr">
        <is>
          <t>Positive</t>
        </is>
      </c>
      <c r="E26" s="8" t="inlineStr">
        <is>
          <t>High</t>
        </is>
      </c>
      <c r="F26" s="19" t="inlineStr">
        <is>
          <t>A CLOSED year that is the most-recently-closed. GL.YEAR.CLOSE permission.</t>
        </is>
      </c>
      <c r="G26" s="19" t="inlineStr">
        <is>
          <t>1. Click 'Reopen' on the most-recently-closed year.
2. Confirm periods reopen and closing journal reversal is created.</t>
        </is>
      </c>
      <c r="H26" s="19" t="inlineStr">
        <is>
          <t>Most-recently-closed fiscal year.</t>
        </is>
      </c>
      <c r="I26" s="19" t="inlineStr">
        <is>
          <t>Closing journal reversed (append-only YEAR_END_CLOSE reversal with reversalOfId). Year → OPEN. closedAt/closedBy/closingJournalUid cleared. Reopening a non-most-recently-closed year → 409 'Only the most-recently-closed may be reopened' (BR-CLOSE-10).</t>
        </is>
      </c>
      <c r="J26" s="19" t="inlineStr">
        <is>
          <t>/admin/gl/year-end</t>
        </is>
      </c>
      <c r="K26" s="19" t="inlineStr">
        <is>
          <t>GL.YEAR.CLOSE</t>
        </is>
      </c>
      <c r="L26" s="19" t="inlineStr"/>
      <c r="M26" s="8" t="inlineStr">
        <is>
          <t>Not Run</t>
        </is>
      </c>
      <c r="N26" s="8" t="inlineStr"/>
      <c r="O26" s="19" t="inlineStr"/>
      <c r="P26" s="19" t="inlineStr"/>
      <c r="Q26" s="19" t="inlineStr"/>
    </row>
    <row r="27">
      <c r="A27" s="15" t="inlineStr">
        <is>
          <t>GL-025</t>
        </is>
      </c>
      <c r="B27" s="16" t="inlineStr">
        <is>
          <t>Year-End Close</t>
        </is>
      </c>
      <c r="C27" s="16" t="inlineStr">
        <is>
          <t>Year-end close fails when RETAINED_EARNINGS gl_config is missing or inactive</t>
        </is>
      </c>
      <c r="D27" s="17" t="inlineStr">
        <is>
          <t>Negative</t>
        </is>
      </c>
      <c r="E27" s="17" t="inlineStr">
        <is>
          <t>High</t>
        </is>
      </c>
      <c r="F27" s="16" t="inlineStr">
        <is>
          <t>An OPEN year. RETAINED_EARNINGS mapping removed or account deactivated.</t>
        </is>
      </c>
      <c r="G27" s="16" t="inlineStr">
        <is>
          <t>1. Ensure RETAINED_EARNINGS key has no active account mapped.
2. Attempt to close the year.</t>
        </is>
      </c>
      <c r="H27" s="16" t="inlineStr">
        <is>
          <t>RETAINED_EARNINGS gl_config unset.</t>
        </is>
      </c>
      <c r="I27" s="16" t="inlineStr">
        <is>
          <t>Close rejected (BR-CLOSE-11). Error surfaced inline. No partial closing journal posted.</t>
        </is>
      </c>
      <c r="J27" s="16" t="inlineStr">
        <is>
          <t>/admin/gl/year-end</t>
        </is>
      </c>
      <c r="K27" s="16" t="inlineStr">
        <is>
          <t>GL.YEAR.CLOSE</t>
        </is>
      </c>
      <c r="L27" s="16" t="inlineStr"/>
      <c r="M27" s="17" t="inlineStr">
        <is>
          <t>Not Run</t>
        </is>
      </c>
      <c r="N27" s="17" t="inlineStr"/>
      <c r="O27" s="16" t="inlineStr"/>
      <c r="P27" s="16" t="inlineStr"/>
      <c r="Q27" s="16" t="inlineStr"/>
    </row>
    <row r="28">
      <c r="A28" s="18" t="inlineStr">
        <is>
          <t>GL-026</t>
        </is>
      </c>
      <c r="B28" s="19" t="inlineStr">
        <is>
          <t>Dimension Types</t>
        </is>
      </c>
      <c r="C28" s="19" t="inlineStr">
        <is>
          <t>List seeded dimension types — no create/delete control visible</t>
        </is>
      </c>
      <c r="D28" s="8" t="inlineStr">
        <is>
          <t>Positive</t>
        </is>
      </c>
      <c r="E28" s="8" t="inlineStr">
        <is>
          <t>High</t>
        </is>
      </c>
      <c r="F28" s="19" t="inlineStr">
        <is>
          <t>Company seeded with COST_CENTRE and DEPARTMENT dimensions. COSTING.VIEW permission.</t>
        </is>
      </c>
      <c r="G28" s="19" t="inlineStr">
        <is>
          <t>1. Navigate to /admin/cost-centre/dimensions.
2. Observe rows for slot, code, name, builtIn, mandatory flag, status.
3. Confirm no 'Add dimension' button exists.</t>
        </is>
      </c>
      <c r="H28" s="19" t="inlineStr">
        <is>
          <t>Seeded company dimensions.</t>
        </is>
      </c>
      <c r="I28" s="19" t="inlineStr">
        <is>
          <t>At least Cost Centre + Department shown. No create/delete control (types are seeded — no create endpoint). Status badge per MasterStatus.</t>
        </is>
      </c>
      <c r="J28" s="19" t="inlineStr">
        <is>
          <t>/admin/cost-centre/dimensions</t>
        </is>
      </c>
      <c r="K28" s="19" t="inlineStr">
        <is>
          <t>COSTING.VIEW</t>
        </is>
      </c>
      <c r="L28" s="19" t="inlineStr"/>
      <c r="M28" s="8" t="inlineStr">
        <is>
          <t>Not Run</t>
        </is>
      </c>
      <c r="N28" s="8" t="inlineStr"/>
      <c r="O28" s="19" t="inlineStr"/>
      <c r="P28" s="19" t="inlineStr"/>
      <c r="Q28" s="19" t="inlineStr"/>
    </row>
    <row r="29">
      <c r="A29" s="15" t="inlineStr">
        <is>
          <t>GL-027</t>
        </is>
      </c>
      <c r="B29" s="16" t="inlineStr">
        <is>
          <t>Dimension Types</t>
        </is>
      </c>
      <c r="C29" s="16" t="inlineStr">
        <is>
          <t>Toggle mandatory dimension — blocks UI-posted manual journals (gap G3)</t>
        </is>
      </c>
      <c r="D29" s="17" t="inlineStr">
        <is>
          <t>Negative</t>
        </is>
      </c>
      <c r="E29" s="17" t="inlineStr">
        <is>
          <t>High</t>
        </is>
      </c>
      <c r="F29" s="16" t="inlineStr">
        <is>
          <t>COSTING.MANAGE permission. COST_CENTRE dimension is OPTIONAL.</t>
        </is>
      </c>
      <c r="G29" s="16" t="inlineStr">
        <is>
          <t>1. Toggle COST_CENTRE to mandatory.
2. Navigate to /admin/gl/journals/post.
3. Build a balanced 2-line entry (no dimension picker in the UI).
4. Post.
5. Toggle COST_CENTRE back to optional.
6. Post the same journal again.</t>
        </is>
      </c>
      <c r="H29" s="16" t="inlineStr">
        <is>
          <t>Mandatory COST_CENTRE; balanced journal DR Bank 500 / CR Revenue 500.</t>
        </is>
      </c>
      <c r="I29" s="16" t="inlineStr">
        <is>
          <t>Step 4: server rejects 'Dimension slot COST_CENTRE is mandatory; missing a value (FR-CC-08/BR-CC-03)'. Step 6: posts successfully. Confirms gap G3 — PostJournalLineRequest has no dimension field, so a mandatory slot blocks ALL manual journals from the UI.</t>
        </is>
      </c>
      <c r="J29" s="16" t="inlineStr">
        <is>
          <t>/admin/cost-centre/dimensions</t>
        </is>
      </c>
      <c r="K29" s="16" t="inlineStr">
        <is>
          <t>COSTING.MANAGE</t>
        </is>
      </c>
      <c r="L29" s="16" t="inlineStr"/>
      <c r="M29" s="17" t="inlineStr">
        <is>
          <t>Not Run</t>
        </is>
      </c>
      <c r="N29" s="17" t="inlineStr"/>
      <c r="O29" s="16" t="inlineStr"/>
      <c r="P29" s="16" t="inlineStr"/>
      <c r="Q29" s="16" t="inlineStr"/>
    </row>
    <row r="30">
      <c r="A30" s="18" t="inlineStr">
        <is>
          <t>GL-028</t>
        </is>
      </c>
      <c r="B30" s="19" t="inlineStr">
        <is>
          <t>Dimension Values</t>
        </is>
      </c>
      <c r="C30" s="19" t="inlineStr">
        <is>
          <t>Create root dimension value and child value (hierarchy)</t>
        </is>
      </c>
      <c r="D30" s="8" t="inlineStr">
        <is>
          <t>Positive</t>
        </is>
      </c>
      <c r="E30" s="8" t="inlineStr">
        <is>
          <t>High</t>
        </is>
      </c>
      <c r="F30" s="19" t="inlineStr">
        <is>
          <t>COSTING.MANAGE permission. COST_CENTRE dimension exists.</t>
        </is>
      </c>
      <c r="G30" s="19" t="inlineStr">
        <is>
          <t>1. Navigate to /admin/cost-centre/values.
2. Create root: code=CC-100, name='Head Office', no parent.
3. Create child: code=CC-110, name='Finance', parent=CC-100.</t>
        </is>
      </c>
      <c r="H30" s="19" t="inlineStr">
        <is>
          <t>Root CC-100 'Head Office'; child CC-110 'Finance'.</t>
        </is>
      </c>
      <c r="I30" s="19" t="inlineStr">
        <is>
          <t>Both return HTTP 201. Root has parentUid=null. Child references parent. Status=ACTIVE for both.</t>
        </is>
      </c>
      <c r="J30" s="19" t="inlineStr">
        <is>
          <t>/admin/cost-centre/values</t>
        </is>
      </c>
      <c r="K30" s="19" t="inlineStr">
        <is>
          <t>COSTING.MANAGE</t>
        </is>
      </c>
      <c r="L30" s="19" t="inlineStr"/>
      <c r="M30" s="8" t="inlineStr">
        <is>
          <t>Not Run</t>
        </is>
      </c>
      <c r="N30" s="8" t="inlineStr"/>
      <c r="O30" s="19" t="inlineStr"/>
      <c r="P30" s="19" t="inlineStr"/>
      <c r="Q30" s="19" t="inlineStr"/>
    </row>
    <row r="31">
      <c r="A31" s="15" t="inlineStr">
        <is>
          <t>GL-029</t>
        </is>
      </c>
      <c r="B31" s="16" t="inlineStr">
        <is>
          <t>Dimension Values</t>
        </is>
      </c>
      <c r="C31" s="16" t="inlineStr">
        <is>
          <t>Delete dimension value with no postings (204); reject delete with postings (BR-CC-05)</t>
        </is>
      </c>
      <c r="D31" s="17" t="inlineStr">
        <is>
          <t>Negative</t>
        </is>
      </c>
      <c r="E31" s="17" t="inlineStr">
        <is>
          <t>High</t>
        </is>
      </c>
      <c r="F31" s="16" t="inlineStr">
        <is>
          <t>One value with zero postings; one value tagged on at least one journal line.</t>
        </is>
      </c>
      <c r="G31" s="16" t="inlineStr">
        <is>
          <t>1. Delete the zero-posting value.
2. Attempt to delete the posted value.</t>
        </is>
      </c>
      <c r="H31" s="16" t="inlineStr">
        <is>
          <t>Value-A: no postings. Value-B: referenced in a posted line.</t>
        </is>
      </c>
      <c r="I31" s="16" t="inlineStr">
        <is>
          <t>Step 1: HTTP 204, row removed. Step 2: 4xx 'this value has journal postings. Use Deactivate instead.' Value-B remains active; can be deactivated afterward.</t>
        </is>
      </c>
      <c r="J31" s="16" t="inlineStr">
        <is>
          <t>/admin/cost-centre/values</t>
        </is>
      </c>
      <c r="K31" s="16" t="inlineStr">
        <is>
          <t>COSTING.MANAGE</t>
        </is>
      </c>
      <c r="L31" s="16" t="inlineStr"/>
      <c r="M31" s="17" t="inlineStr">
        <is>
          <t>Not Run</t>
        </is>
      </c>
      <c r="N31" s="17" t="inlineStr"/>
      <c r="O31" s="16" t="inlineStr"/>
      <c r="P31" s="16" t="inlineStr"/>
      <c r="Q31" s="16" t="inlineStr"/>
    </row>
    <row r="32">
      <c r="A32" s="18" t="inlineStr">
        <is>
          <t>GL-030</t>
        </is>
      </c>
      <c r="B32" s="19" t="inlineStr">
        <is>
          <t>Dimension Sliced Report</t>
        </is>
      </c>
      <c r="C32" s="19" t="inlineStr">
        <is>
          <t>Sliced trial balance by COST_CENTRE — requires BOTH COSTING.VIEW and GL.VIEW</t>
        </is>
      </c>
      <c r="D32" s="8" t="inlineStr">
        <is>
          <t>Permission</t>
        </is>
      </c>
      <c r="E32" s="8" t="inlineStr">
        <is>
          <t>High</t>
        </is>
      </c>
      <c r="F32" s="19" t="inlineStr">
        <is>
          <t>Journal lines tagged with cost-centre values. User with COSTING.VIEW but NOT GL.VIEW.</t>
        </is>
      </c>
      <c r="G32" s="19" t="inlineStr">
        <is>
          <t>1. Navigate to /admin/cost-centre/report as the restricted user.
2. Attempt to run the report.
3. Repeat as a user with both COSTING.VIEW and GL.VIEW.</t>
        </is>
      </c>
      <c r="H32" s="19" t="inlineStr">
        <is>
          <t>Custom role: COSTING.VIEW only.</t>
        </is>
      </c>
      <c r="I32" s="19" t="inlineStr">
        <is>
          <t>Step 2: forbidden (API 403 — @perm.has('COSTING.VIEW') and @perm.has('GL.VIEW') both required). Step 3: report renders rows per (value × account) with totalDebit/totalCredit/net.</t>
        </is>
      </c>
      <c r="J32" s="19" t="inlineStr">
        <is>
          <t>/admin/cost-centre/report</t>
        </is>
      </c>
      <c r="K32" s="19" t="inlineStr">
        <is>
          <t>COSTING.VIEW + GL.VIEW</t>
        </is>
      </c>
      <c r="L32" s="19" t="inlineStr"/>
      <c r="M32" s="8" t="inlineStr">
        <is>
          <t>Not Run</t>
        </is>
      </c>
      <c r="N32" s="8" t="inlineStr"/>
      <c r="O32" s="19" t="inlineStr"/>
      <c r="P32" s="19" t="inlineStr"/>
      <c r="Q32" s="19" t="inlineStr"/>
    </row>
    <row r="33">
      <c r="A33" s="15" t="inlineStr">
        <is>
          <t>GL-031</t>
        </is>
      </c>
      <c r="B33" s="16" t="inlineStr">
        <is>
          <t>Dimension Sliced Report</t>
        </is>
      </c>
      <c r="C33" s="16" t="inlineStr">
        <is>
          <t>Sliced TB period filter works correctly (gap G2 — expected PASS)</t>
        </is>
      </c>
      <c r="D33" s="17" t="inlineStr">
        <is>
          <t>Positive</t>
        </is>
      </c>
      <c r="E33" s="17" t="inlineStr">
        <is>
          <t>High</t>
        </is>
      </c>
      <c r="F33" s="16" t="inlineStr">
        <is>
          <t>Tagged postings across at least 2 periods. COSTING.VIEW + GL.VIEW.</t>
        </is>
      </c>
      <c r="G33" s="16" t="inlineStr">
        <is>
          <t>1. Pick a period in the report's period &lt;select&gt;.
2. Observe the request param in network tab.
3. Compare filtered result to unfiltered result.</t>
        </is>
      </c>
      <c r="H33" s="16" t="inlineStr">
        <is>
          <t>At least 2 periods with different posting amounts.</t>
        </is>
      </c>
      <c r="I33" s="16" t="inlineStr">
        <is>
          <t>UI sends periodId as a numeric Long (the FiscalPeriodDto.id, NOT uid). Result is filtered to that period. This is unlike the trial-balance screen's G1 gap — this one should pass.</t>
        </is>
      </c>
      <c r="J33" s="16" t="inlineStr">
        <is>
          <t>/admin/cost-centre/report</t>
        </is>
      </c>
      <c r="K33" s="16" t="inlineStr">
        <is>
          <t>COSTING.VIEW + GL.VIEW</t>
        </is>
      </c>
      <c r="L33" s="16" t="inlineStr"/>
      <c r="M33" s="17" t="inlineStr">
        <is>
          <t>Not Run</t>
        </is>
      </c>
      <c r="N33" s="17" t="inlineStr"/>
      <c r="O33" s="16" t="inlineStr"/>
      <c r="P33" s="16" t="inlineStr"/>
      <c r="Q33" s="16" t="inlineStr"/>
    </row>
    <row r="34">
      <c r="A34" s="18" t="inlineStr">
        <is>
          <t>GL-032</t>
        </is>
      </c>
      <c r="B34" s="19" t="inlineStr">
        <is>
          <t>Account Ledger</t>
        </is>
      </c>
      <c r="C34" s="19" t="inlineStr">
        <is>
          <t>Account ledger drill-down renders paginated lines for a date range</t>
        </is>
      </c>
      <c r="D34" s="8" t="inlineStr">
        <is>
          <t>Positive</t>
        </is>
      </c>
      <c r="E34" s="8" t="inlineStr">
        <is>
          <t>High</t>
        </is>
      </c>
      <c r="F34" s="19" t="inlineStr">
        <is>
          <t>An account with posted lines in the date range. REPORT.LEDGER.VIEW permission.</t>
        </is>
      </c>
      <c r="G34" s="19" t="inlineStr">
        <is>
          <t>1. Navigate to /admin/reporting/account-ledger.
2. Pick account by name.
3. Set fromDate and toDate.
4. Run report; page through results.</t>
        </is>
      </c>
      <c r="H34" s="19" t="inlineStr">
        <is>
          <t>Any account with at least 2 posted lines. fromDate=first of month, toDate=last of month.</t>
        </is>
      </c>
      <c r="I34" s="19" t="inlineStr">
        <is>
          <t>AccountLedgerDto with running-balance ledger lines. Paginated (default page size 50). No raw uid in cells. Missing fromDate or toDate → 4xx.</t>
        </is>
      </c>
      <c r="J34" s="19" t="inlineStr">
        <is>
          <t>/admin/reporting/account-ledger</t>
        </is>
      </c>
      <c r="K34" s="19" t="inlineStr">
        <is>
          <t>REPORT.LEDGER.VIEW</t>
        </is>
      </c>
      <c r="L34" s="19" t="inlineStr"/>
      <c r="M34" s="8" t="inlineStr">
        <is>
          <t>Not Run</t>
        </is>
      </c>
      <c r="N34" s="8" t="inlineStr"/>
      <c r="O34" s="19" t="inlineStr"/>
      <c r="P34" s="19" t="inlineStr"/>
      <c r="Q34" s="19" t="inlineStr"/>
    </row>
    <row r="35">
      <c r="A35" s="15" t="inlineStr">
        <is>
          <t>GL-033</t>
        </is>
      </c>
      <c r="B35" s="16" t="inlineStr">
        <is>
          <t>Posting Correctness</t>
        </is>
      </c>
      <c r="C35" s="16" t="inlineStr">
        <is>
          <t>Append-only ledger end-to-end: post a journal, reverse it, trial balance still balanced</t>
        </is>
      </c>
      <c r="D35" s="17" t="inlineStr">
        <is>
          <t>Positive</t>
        </is>
      </c>
      <c r="E35" s="17" t="inlineStr">
        <is>
          <t>High</t>
        </is>
      </c>
      <c r="F35" s="16" t="inlineStr">
        <is>
          <t>GL.POST + GL.VIEW. OPEN period exists.</t>
        </is>
      </c>
      <c r="G35" s="16" t="inlineStr">
        <is>
          <t>1. Post a balanced manual journal; note trial balance totals.
2. Reverse it (GL-012 procedure).
3. Re-read trial balance.</t>
        </is>
      </c>
      <c r="H35" s="16" t="inlineStr">
        <is>
          <t>Journal DR Bank 2000 / CR Revenue 2000.</t>
        </is>
      </c>
      <c r="I35" s="16" t="inlineStr">
        <is>
          <t>No edit/delete path for a posted entry anywhere in the UI. Original entry persists. Reversal nets the effect. Trial balance debits still equal credits after both entries. There is no way to call an edit or delete on journal_entry via the UI — confirmed by absence of edit controls.</t>
        </is>
      </c>
      <c r="J35" s="16" t="inlineStr">
        <is>
          <t>/admin/gl/journals</t>
        </is>
      </c>
      <c r="K35" s="16" t="inlineStr">
        <is>
          <t>GL.POST + GL.VIEW</t>
        </is>
      </c>
      <c r="L35" s="16" t="inlineStr"/>
      <c r="M35" s="17" t="inlineStr">
        <is>
          <t>Not Run</t>
        </is>
      </c>
      <c r="N35" s="17" t="inlineStr"/>
      <c r="O35" s="16" t="inlineStr"/>
      <c r="P35" s="16" t="inlineStr"/>
      <c r="Q35" s="16" t="inlineStr"/>
    </row>
    <row r="36">
      <c r="A36" s="18" t="inlineStr">
        <is>
          <t>GL-034</t>
        </is>
      </c>
      <c r="B36" s="19" t="inlineStr">
        <is>
          <t>Accessibility</t>
        </is>
      </c>
      <c r="C36" s="19" t="inlineStr">
        <is>
          <t>Axe accessibility sweep on all GL and costing screens</t>
        </is>
      </c>
      <c r="D36" s="8" t="inlineStr">
        <is>
          <t>Positive</t>
        </is>
      </c>
      <c r="E36" s="8" t="inlineStr">
        <is>
          <t>Medium</t>
        </is>
      </c>
      <c r="F36" s="19" t="inlineStr">
        <is>
          <t>ACCOUNTANT (GL.VIEW + COSTING.VIEW) logged in with data seeded.</t>
        </is>
      </c>
      <c r="G36" s="19" t="inlineStr">
        <is>
          <t>1. Run axe on: /admin/gl/accounts, /admin/gl/journals, /admin/gl/journals/post, /admin/gl/journals/uid/:uid, /admin/gl/periods, /admin/gl/trial-balance, /admin/gl/config, /admin/gl/year-end, /admin/cost-centre/dimensions, /admin/cost-centre/values, /admin/cost-centre/report, /admin/reporting/account-ledger.
2. Also scan the dynamic journal line editor (add/remove line states).</t>
        </is>
      </c>
      <c r="H36" s="19" t="inlineStr">
        <is>
          <t>All screens loaded with data.</t>
        </is>
      </c>
      <c r="I36" s="19" t="inlineStr">
        <is>
          <t>axe-clean (WCAG 2.1 AA). Tables: captions + scoped headers. Forms: labels. Journal line editor keyboard-operable (add/remove/select by keyboard).</t>
        </is>
      </c>
      <c r="J36" s="19" t="inlineStr">
        <is>
          <t>/admin/gl/accounts</t>
        </is>
      </c>
      <c r="K36" s="19" t="inlineStr">
        <is>
          <t>GL.VIEW + COSTING.VIEW</t>
        </is>
      </c>
      <c r="L36" s="19" t="inlineStr"/>
      <c r="M36" s="8" t="inlineStr">
        <is>
          <t>Not Run</t>
        </is>
      </c>
      <c r="N36" s="8" t="inlineStr"/>
      <c r="O36" s="19" t="inlineStr"/>
      <c r="P36" s="19" t="inlineStr"/>
      <c r="Q36" s="19" t="inlineStr"/>
    </row>
    <row r="37">
      <c r="A37" s="15" t="inlineStr">
        <is>
          <t>GL-035</t>
        </is>
      </c>
      <c r="B37" s="16" t="inlineStr">
        <is>
          <t>Multi-Tenancy</t>
        </is>
      </c>
      <c r="C37" s="16" t="inlineStr">
        <is>
          <t>GL company switcher re-scopes every GL/costing screen</t>
        </is>
      </c>
      <c r="D37" s="17" t="inlineStr">
        <is>
          <t>Positive</t>
        </is>
      </c>
      <c r="E37" s="17" t="inlineStr">
        <is>
          <t>Medium</t>
        </is>
      </c>
      <c r="F37" s="16" t="inlineStr">
        <is>
          <t>User assigned to multiple companies. GL.VIEW + COSTING.VIEW.</t>
        </is>
      </c>
      <c r="G37" s="16" t="inlineStr">
        <is>
          <t>1. On CoA, journals, periods, trial balance, gl-config, dimensions, values, sliced report — change the company &lt;select&gt;.
2. Verify each screen reloads.</t>
        </is>
      </c>
      <c r="H37" s="16" t="inlineStr">
        <is>
          <t>Two companies with distinct CoA and journals.</t>
        </is>
      </c>
      <c r="I37" s="16" t="inlineStr">
        <is>
          <t>Each screen reloads data scoped to the newly selected company. No cross-company data visible. Loading indicator shown during reload.</t>
        </is>
      </c>
      <c r="J37" s="16" t="inlineStr">
        <is>
          <t>/admin/gl/accounts</t>
        </is>
      </c>
      <c r="K37" s="16" t="inlineStr">
        <is>
          <t>GL.VIEW</t>
        </is>
      </c>
      <c r="L37" s="16" t="inlineStr"/>
      <c r="M37" s="17" t="inlineStr">
        <is>
          <t>Not Run</t>
        </is>
      </c>
      <c r="N37" s="17" t="inlineStr"/>
      <c r="O37" s="16" t="inlineStr"/>
      <c r="P37" s="16" t="inlineStr"/>
      <c r="Q37" s="16" t="inlineStr"/>
    </row>
  </sheetData>
  <autoFilter ref="A2:Q37"/>
  <mergeCells count="1">
    <mergeCell ref="A1:Q1"/>
  </mergeCells>
  <dataValidations count="4">
    <dataValidation sqref="D3:D37" showDropDown="0" showInputMessage="0" showErrorMessage="0" allowBlank="1" type="list">
      <formula1>"Positive,Negative,Permission,Edge"</formula1>
    </dataValidation>
    <dataValidation sqref="E3:E37" showDropDown="0" showInputMessage="0" showErrorMessage="0" allowBlank="1" type="list">
      <formula1>"High,Medium,Low"</formula1>
    </dataValidation>
    <dataValidation sqref="M3:M37" showDropDown="0" showInputMessage="0" showErrorMessage="0" allowBlank="1" type="list">
      <formula1>"Not Run,Pass,Fail,Blocked,N/A"</formula1>
    </dataValidation>
    <dataValidation sqref="N3:N37" showDropDown="0" showInputMessage="0" showErrorMessage="0" allowBlank="1" type="list">
      <formula1>"-,Critical,High,Medium,Low"</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25"/>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Accounts Receivable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AR-001</t>
        </is>
      </c>
      <c r="B3" s="16" t="inlineStr">
        <is>
          <t>AR Invoices List</t>
        </is>
      </c>
      <c r="C3" s="16" t="inlineStr">
        <is>
          <t>AR open-items list renders with pagination and ApiResponse envelope</t>
        </is>
      </c>
      <c r="D3" s="17" t="inlineStr">
        <is>
          <t>Positive</t>
        </is>
      </c>
      <c r="E3" s="17" t="inlineStr">
        <is>
          <t>High</t>
        </is>
      </c>
      <c r="F3" s="16" t="inlineStr">
        <is>
          <t>Logged in as ACCOUNTANT (AR.VIEW). At least 21 AR open items in the active company.</t>
        </is>
      </c>
      <c r="G3" s="16" t="inlineStr">
        <is>
          <t>1. Navigate to /admin/ar/invoices.
2. Confirm table loads (document no, customer, original + outstanding amount, currency, dates, status badge).
3. Verify paginator present.
4. Click NEXT, LAST, FIRST.</t>
        </is>
      </c>
      <c r="H3" s="16" t="inlineStr">
        <is>
          <t>At least 21 AR open items seeded (via sales posting or opening balances).</t>
        </is>
      </c>
      <c r="I3" s="16" t="inlineStr">
        <is>
          <t>Table with meta {page,size,totalElements,totalPages,hasNext}. No raw uid in any cell. Paging changes page param and reloads. NO-PERMISSION user: nav hidden, direct route blocked.</t>
        </is>
      </c>
      <c r="J3" s="16" t="inlineStr">
        <is>
          <t>/admin/ar/invoices</t>
        </is>
      </c>
      <c r="K3" s="16" t="inlineStr">
        <is>
          <t>AR.VIEW</t>
        </is>
      </c>
      <c r="L3" s="16" t="inlineStr"/>
      <c r="M3" s="17" t="inlineStr">
        <is>
          <t>Not Run</t>
        </is>
      </c>
      <c r="N3" s="17" t="inlineStr"/>
      <c r="O3" s="16" t="inlineStr"/>
      <c r="P3" s="16" t="inlineStr"/>
      <c r="Q3" s="16" t="inlineStr"/>
    </row>
    <row r="4">
      <c r="A4" s="18" t="inlineStr">
        <is>
          <t>AR-002</t>
        </is>
      </c>
      <c r="B4" s="19" t="inlineStr">
        <is>
          <t>AR Invoices List</t>
        </is>
      </c>
      <c r="C4" s="19" t="inlineStr">
        <is>
          <t>Invoice list customer/status filter — FE/BE contract gap (defect hunt TC-AR-041)</t>
        </is>
      </c>
      <c r="D4" s="8" t="inlineStr">
        <is>
          <t>Negative</t>
        </is>
      </c>
      <c r="E4" s="8" t="inlineStr">
        <is>
          <t>High</t>
        </is>
      </c>
      <c r="F4" s="19" t="inlineStr">
        <is>
          <t>At least 2 customers with invoices in different statuses.</t>
        </is>
      </c>
      <c r="G4" s="19" t="inlineStr">
        <is>
          <t>1. Note unfiltered row count.
2. Apply customer filter via picker (by name).
3. Apply status filter = OPEN.
4. Compare count and contents before/after filter.
5. Inspect network request params.</t>
        </is>
      </c>
      <c r="H4" s="19" t="inlineStr">
        <is>
          <t>2 customers: CUST-001 with OPEN invoices; CUST-002 with PAID invoices.</t>
        </is>
      </c>
      <c r="I4" s="19" t="inlineStr">
        <is>
          <t>DESIRED: only matching rows. DEFECT: ArService sends customerUid and status params; ArInvoiceController only binds companyId and customerId (Long). Server ignores customerUid/status — list returns all company rows. Assert if filtered count truly narrows; log contract defect if it does not.</t>
        </is>
      </c>
      <c r="J4" s="19" t="inlineStr">
        <is>
          <t>/admin/ar/invoices</t>
        </is>
      </c>
      <c r="K4" s="19" t="inlineStr">
        <is>
          <t>AR.VIEW</t>
        </is>
      </c>
      <c r="L4" s="19" t="inlineStr"/>
      <c r="M4" s="8" t="inlineStr">
        <is>
          <t>Not Run</t>
        </is>
      </c>
      <c r="N4" s="8" t="inlineStr"/>
      <c r="O4" s="19" t="inlineStr"/>
      <c r="P4" s="19" t="inlineStr"/>
      <c r="Q4" s="19" t="inlineStr"/>
    </row>
    <row r="5">
      <c r="A5" s="15" t="inlineStr">
        <is>
          <t>AR-003</t>
        </is>
      </c>
      <c r="B5" s="16" t="inlineStr">
        <is>
          <t>Receipts</t>
        </is>
      </c>
      <c r="C5" s="16" t="inlineStr">
        <is>
          <t>Record receipt: CASH, auto oldest-first allocation, fully allocated</t>
        </is>
      </c>
      <c r="D5" s="17" t="inlineStr">
        <is>
          <t>Positive</t>
        </is>
      </c>
      <c r="E5" s="17" t="inlineStr">
        <is>
          <t>High</t>
        </is>
      </c>
      <c r="F5" s="16" t="inlineStr">
        <is>
          <t>Customer with at least 2 OPEN invoices. AR.RECEIPT.RECORD permission.</t>
        </is>
      </c>
      <c r="G5" s="16" t="inlineStr">
        <is>
          <t>1. Navigate to /admin/ar/receipts/record.
2. Pick customer by name.
3. Amount=1000.00, currency=TZS, tender=CASH, date=today.
4. Wait for open invoices to load in allocation editor.
5. Click 'Auto oldest-first'.
6. Confirm allocated total=1000.00, unallocated=0.
7. Submit.</t>
        </is>
      </c>
      <c r="H5" s="16" t="inlineStr">
        <is>
          <t>Invoice A outstanding 600.00; Invoice B outstanding 400.00. Receipt amount 1000.00.</t>
        </is>
      </c>
      <c r="I5" s="16" t="inlineStr">
        <is>
          <t>HTTP 201. ArReceiptDto status=ALLOCATED, unallocatedAmount=0, two allocation lines. Each invoice outstanding → 0, status → PAID. Success alert shows receipt number (RCT-####).</t>
        </is>
      </c>
      <c r="J5" s="16" t="inlineStr">
        <is>
          <t>/admin/ar/receipts/record</t>
        </is>
      </c>
      <c r="K5" s="16" t="inlineStr">
        <is>
          <t>AR.RECEIPT.RECORD</t>
        </is>
      </c>
      <c r="L5" s="16" t="inlineStr"/>
      <c r="M5" s="17" t="inlineStr">
        <is>
          <t>Not Run</t>
        </is>
      </c>
      <c r="N5" s="17" t="inlineStr"/>
      <c r="O5" s="16" t="inlineStr"/>
      <c r="P5" s="16" t="inlineStr"/>
      <c r="Q5" s="16" t="inlineStr"/>
    </row>
    <row r="6">
      <c r="A6" s="18" t="inlineStr">
        <is>
          <t>AR-004</t>
        </is>
      </c>
      <c r="B6" s="19" t="inlineStr">
        <is>
          <t>Receipts</t>
        </is>
      </c>
      <c r="C6" s="19" t="inlineStr">
        <is>
          <t>Record receipt: MOBILE_MONEY, partial allocation — receipt PARTIAL, invoice PARTIAL</t>
        </is>
      </c>
      <c r="D6" s="8" t="inlineStr">
        <is>
          <t>Positive</t>
        </is>
      </c>
      <c r="E6" s="8" t="inlineStr">
        <is>
          <t>High</t>
        </is>
      </c>
      <c r="F6" s="19" t="inlineStr">
        <is>
          <t>Customer with one OPEN invoice outstanding 1000.00. AR.RECEIPT.RECORD permission.</t>
        </is>
      </c>
      <c r="G6" s="19" t="inlineStr">
        <is>
          <t>1. Pick customer, amount=1000.00, tender=MOBILE_MONEY, bank reference = 'MPE-9001'.
2. Allocate 600.00 against the invoice (leave 400.00 on-account).
3. Submit.</t>
        </is>
      </c>
      <c r="H6" s="19" t="inlineStr">
        <is>
          <t>Invoice outstanding 1000.00; allocate 600.00.</t>
        </is>
      </c>
      <c r="I6" s="19" t="inlineStr">
        <is>
          <t>HTTP 201. Receipt status=PARTIAL, unallocatedAmount=400.00. Invoice outstanding=400.00, status=PARTIAL. bankReference round-trips to the receipt DTO.</t>
        </is>
      </c>
      <c r="J6" s="19" t="inlineStr">
        <is>
          <t>/admin/ar/receipts/record</t>
        </is>
      </c>
      <c r="K6" s="19" t="inlineStr">
        <is>
          <t>AR.RECEIPT.RECORD</t>
        </is>
      </c>
      <c r="L6" s="19" t="inlineStr"/>
      <c r="M6" s="8" t="inlineStr">
        <is>
          <t>Not Run</t>
        </is>
      </c>
      <c r="N6" s="8" t="inlineStr"/>
      <c r="O6" s="19" t="inlineStr"/>
      <c r="P6" s="19" t="inlineStr"/>
      <c r="Q6" s="19" t="inlineStr"/>
    </row>
    <row r="7">
      <c r="A7" s="15" t="inlineStr">
        <is>
          <t>AR-005</t>
        </is>
      </c>
      <c r="B7" s="16" t="inlineStr">
        <is>
          <t>Receipts</t>
        </is>
      </c>
      <c r="C7" s="16" t="inlineStr">
        <is>
          <t>Record receipt fully on-account (no allocation) — status UNALLOCATED</t>
        </is>
      </c>
      <c r="D7" s="17" t="inlineStr">
        <is>
          <t>Positive</t>
        </is>
      </c>
      <c r="E7" s="17" t="inlineStr">
        <is>
          <t>Medium</t>
        </is>
      </c>
      <c r="F7" s="16" t="inlineStr">
        <is>
          <t>Customer with zero open invoices. AR.RECEIPT.RECORD permission.</t>
        </is>
      </c>
      <c r="G7" s="16" t="inlineStr">
        <is>
          <t>1. Pick customer, amount=500.00, CASH, no allocations.
2. Submit.</t>
        </is>
      </c>
      <c r="H7" s="16" t="inlineStr">
        <is>
          <t>Amount 500.00, no invoice to allocate against.</t>
        </is>
      </c>
      <c r="I7" s="16" t="inlineStr">
        <is>
          <t>HTTP 201. Receipt status=UNALLOCATED, unallocatedAmount=500.00, empty allocation list.</t>
        </is>
      </c>
      <c r="J7" s="16" t="inlineStr">
        <is>
          <t>/admin/ar/receipts/record</t>
        </is>
      </c>
      <c r="K7" s="16" t="inlineStr">
        <is>
          <t>AR.RECEIPT.RECORD</t>
        </is>
      </c>
      <c r="L7" s="16" t="inlineStr"/>
      <c r="M7" s="17" t="inlineStr">
        <is>
          <t>Not Run</t>
        </is>
      </c>
      <c r="N7" s="17" t="inlineStr"/>
      <c r="O7" s="16" t="inlineStr"/>
      <c r="P7" s="16" t="inlineStr"/>
      <c r="Q7" s="16" t="inlineStr"/>
    </row>
    <row r="8">
      <c r="A8" s="18" t="inlineStr">
        <is>
          <t>AR-006</t>
        </is>
      </c>
      <c r="B8" s="19" t="inlineStr">
        <is>
          <t>Receipts</t>
        </is>
      </c>
      <c r="C8" s="19" t="inlineStr">
        <is>
          <t>Client guard blocks over-allocation; server rejects allocation exceeding outstanding (BR-AR-04)</t>
        </is>
      </c>
      <c r="D8" s="8" t="inlineStr">
        <is>
          <t>Negative</t>
        </is>
      </c>
      <c r="E8" s="8" t="inlineStr">
        <is>
          <t>High</t>
        </is>
      </c>
      <c r="F8" s="19" t="inlineStr">
        <is>
          <t>Customer with one invoice outstanding 1000.00. AR.RECEIPT.RECORD permission.</t>
        </is>
      </c>
      <c r="G8" s="19" t="inlineStr">
        <is>
          <t>1. Receipt amount=800.00. Attempt to allocate 900.00 against the invoice.
2. Observe row highlight and submit button state.
3. Via API, POST allocation=150.00 against invoice with outstanding=100.00.</t>
        </is>
      </c>
      <c r="H8" s="19" t="inlineStr">
        <is>
          <t>Invoice outstanding 1000.00; receipt 800.00; allocation attempt 900.00.</t>
        </is>
      </c>
      <c r="I8" s="19" t="inlineStr">
        <is>
          <t>Step 2: row flagged table-danger, Submit disabled (anyAllocationExceedsOutstanding()). Step 3: 4xx 'exceeds outstanding (BR-AR-04)'. No receipt created (TX rollback).</t>
        </is>
      </c>
      <c r="J8" s="19" t="inlineStr">
        <is>
          <t>/admin/ar/receipts/record</t>
        </is>
      </c>
      <c r="K8" s="19" t="inlineStr">
        <is>
          <t>AR.RECEIPT.RECORD</t>
        </is>
      </c>
      <c r="L8" s="19" t="inlineStr"/>
      <c r="M8" s="8" t="inlineStr">
        <is>
          <t>Not Run</t>
        </is>
      </c>
      <c r="N8" s="8" t="inlineStr"/>
      <c r="O8" s="19" t="inlineStr"/>
      <c r="P8" s="19" t="inlineStr"/>
      <c r="Q8" s="19" t="inlineStr"/>
    </row>
    <row r="9">
      <c r="A9" s="15" t="inlineStr">
        <is>
          <t>AR-007</t>
        </is>
      </c>
      <c r="B9" s="16" t="inlineStr">
        <is>
          <t>Receipts</t>
        </is>
      </c>
      <c r="C9" s="16" t="inlineStr">
        <is>
          <t>Record receipt with WHT_ON_RECEIPT leg — GL: Cash DR reduced, WHT receivable DR, AR CR</t>
        </is>
      </c>
      <c r="D9" s="17" t="inlineStr">
        <is>
          <t>Positive</t>
        </is>
      </c>
      <c r="E9" s="17" t="inlineStr">
        <is>
          <t>High</t>
        </is>
      </c>
      <c r="F9" s="16" t="inlineStr">
        <is>
          <t>Active WHT type with kind=WHT_ON_RECEIPT. Customer with OPEN invoice. AR.RECEIPT.RECORD permission.</t>
        </is>
      </c>
      <c r="G9" s="16" t="inlineStr">
        <is>
          <t>1. Navigate to /admin/ar/receipts/record.
2. Pick customer, amount=1000.00, fully allocate.
3. Select WHT type by name, enter whtAmount=50.00.
4. Submit.
5. Fetch linked GL entry.</t>
        </is>
      </c>
      <c r="H9" s="16" t="inlineStr">
        <is>
          <t>Amount=1000.00; WHT=50.00; invoice outstanding &gt;= 1000.00.</t>
        </is>
      </c>
      <c r="I9" s="16" t="inlineStr">
        <is>
          <t>HTTP 201. GL: Cash DR=950.00, WHT Receivable DR=50.00, AR Control CR=1000.00. Total balances. WHT certificate linked to journal entry uid.</t>
        </is>
      </c>
      <c r="J9" s="16" t="inlineStr">
        <is>
          <t>/admin/ar/receipts/record</t>
        </is>
      </c>
      <c r="K9" s="16" t="inlineStr">
        <is>
          <t>AR.RECEIPT.RECORD</t>
        </is>
      </c>
      <c r="L9" s="16" t="inlineStr"/>
      <c r="M9" s="17" t="inlineStr">
        <is>
          <t>Not Run</t>
        </is>
      </c>
      <c r="N9" s="17" t="inlineStr"/>
      <c r="O9" s="16" t="inlineStr"/>
      <c r="P9" s="16" t="inlineStr"/>
      <c r="Q9" s="16" t="inlineStr"/>
    </row>
    <row r="10">
      <c r="A10" s="18" t="inlineStr">
        <is>
          <t>AR-008</t>
        </is>
      </c>
      <c r="B10" s="19" t="inlineStr">
        <is>
          <t>Receipts</t>
        </is>
      </c>
      <c r="C10" s="19" t="inlineStr">
        <is>
          <t>GL posting failure rolls back the entire receipt (atomicity check)</t>
        </is>
      </c>
      <c r="D10" s="8" t="inlineStr">
        <is>
          <t>Negative</t>
        </is>
      </c>
      <c r="E10" s="8" t="inlineStr">
        <is>
          <t>Medium</t>
        </is>
      </c>
      <c r="F10" s="19" t="inlineStr">
        <is>
          <t>Company missing ACCOUNTS_RECEIVABLE gl_config or period closed for the receipt date.</t>
        </is>
      </c>
      <c r="G10" s="19" t="inlineStr">
        <is>
          <t>1. POST a receipt that will fail GL config resolution or period check.
2. Re-query /api/v1/ar/receipts for the company.</t>
        </is>
      </c>
      <c r="H10" s="19" t="inlineStr">
        <is>
          <t>Receipt date in a CLOSED period, or AR gl_config unset.</t>
        </is>
      </c>
      <c r="I10" s="19" t="inlineStr">
        <is>
          <t>Error response. No receipt row created. No allocation row. Invoices unchanged. Atomic rollback.</t>
        </is>
      </c>
      <c r="J10" s="19" t="inlineStr">
        <is>
          <t>/admin/ar/receipts/record</t>
        </is>
      </c>
      <c r="K10" s="19" t="inlineStr">
        <is>
          <t>AR.RECEIPT.RECORD</t>
        </is>
      </c>
      <c r="L10" s="19" t="inlineStr"/>
      <c r="M10" s="8" t="inlineStr">
        <is>
          <t>Not Run</t>
        </is>
      </c>
      <c r="N10" s="8" t="inlineStr"/>
      <c r="O10" s="19" t="inlineStr"/>
      <c r="P10" s="19" t="inlineStr"/>
      <c r="Q10" s="19" t="inlineStr"/>
    </row>
    <row r="11">
      <c r="A11" s="15" t="inlineStr">
        <is>
          <t>AR-009</t>
        </is>
      </c>
      <c r="B11" s="16" t="inlineStr">
        <is>
          <t>Write-Offs</t>
        </is>
      </c>
      <c r="C11" s="16" t="inlineStr">
        <is>
          <t>Write-off an OPEN invoice — status WRITTEN_OFF, GL DR Bad-Debt / CR AR</t>
        </is>
      </c>
      <c r="D11" s="17" t="inlineStr">
        <is>
          <t>Positive</t>
        </is>
      </c>
      <c r="E11" s="17" t="inlineStr">
        <is>
          <t>High</t>
        </is>
      </c>
      <c r="F11" s="16" t="inlineStr">
        <is>
          <t>An OPEN invoice with outstanding &gt; 0. AR.WRITEOFF permission.</t>
        </is>
      </c>
      <c r="G11" s="16" t="inlineStr">
        <is>
          <t>1. Navigate to /admin/ar/invoices.
2. Click 'Write off' on the target invoice row.
3. Enter reason 'Customer insolvent', accept today's date.
4. Submit.</t>
        </is>
      </c>
      <c r="H11" s="16" t="inlineStr">
        <is>
          <t>OPEN invoice outstanding 750.00; reason 'Customer insolvent'.</t>
        </is>
      </c>
      <c r="I11" s="16" t="inlineStr">
        <is>
          <t>HTTP 201. Invoice outstanding → 0, status → WRITTEN_OFF. GL: DR Bad-Debt Expense / CR AR Control at carrying base. List refreshes, badge secondary. AR.VIEW-only user: action hidden, API 403.</t>
        </is>
      </c>
      <c r="J11" s="16" t="inlineStr">
        <is>
          <t>/admin/ar/invoices</t>
        </is>
      </c>
      <c r="K11" s="16" t="inlineStr">
        <is>
          <t>AR.WRITEOFF</t>
        </is>
      </c>
      <c r="L11" s="16" t="inlineStr"/>
      <c r="M11" s="17" t="inlineStr">
        <is>
          <t>Not Run</t>
        </is>
      </c>
      <c r="N11" s="17" t="inlineStr"/>
      <c r="O11" s="16" t="inlineStr"/>
      <c r="P11" s="16" t="inlineStr"/>
      <c r="Q11" s="16" t="inlineStr"/>
    </row>
    <row r="12">
      <c r="A12" s="18" t="inlineStr">
        <is>
          <t>AR-010</t>
        </is>
      </c>
      <c r="B12" s="19" t="inlineStr">
        <is>
          <t>Write-Offs</t>
        </is>
      </c>
      <c r="C12" s="19" t="inlineStr">
        <is>
          <t>Write-off illegal transitions — PAID and already WRITTEN_OFF invoices rejected</t>
        </is>
      </c>
      <c r="D12" s="8" t="inlineStr">
        <is>
          <t>Negative</t>
        </is>
      </c>
      <c r="E12" s="8" t="inlineStr">
        <is>
          <t>High</t>
        </is>
      </c>
      <c r="F12" s="19" t="inlineStr">
        <is>
          <t>One PAID invoice; one already WRITTEN_OFF invoice.</t>
        </is>
      </c>
      <c r="G12" s="19" t="inlineStr">
        <is>
          <t>1. POST a write-off against the PAID invoice.
2. POST a write-off against the WRITTEN_OFF invoice.</t>
        </is>
      </c>
      <c r="H12" s="19" t="inlineStr">
        <is>
          <t>Invoice-A status=PAID; Invoice-B status=WRITTEN_OFF.</t>
        </is>
      </c>
      <c r="I12" s="19" t="inlineStr">
        <is>
          <t>Both return 4xx. Invoice-A: 'is already PAID — cannot write off.' Invoice-B: 'is already WRITTEN_OFF.' No GL post, no write-off row in either case.</t>
        </is>
      </c>
      <c r="J12" s="19" t="inlineStr">
        <is>
          <t>/admin/ar/invoices</t>
        </is>
      </c>
      <c r="K12" s="19" t="inlineStr">
        <is>
          <t>AR.WRITEOFF</t>
        </is>
      </c>
      <c r="L12" s="19" t="inlineStr"/>
      <c r="M12" s="8" t="inlineStr">
        <is>
          <t>Not Run</t>
        </is>
      </c>
      <c r="N12" s="8" t="inlineStr"/>
      <c r="O12" s="19" t="inlineStr"/>
      <c r="P12" s="19" t="inlineStr"/>
      <c r="Q12" s="19" t="inlineStr"/>
    </row>
    <row r="13">
      <c r="A13" s="15" t="inlineStr">
        <is>
          <t>AR-011</t>
        </is>
      </c>
      <c r="B13" s="16" t="inlineStr">
        <is>
          <t>Credit Notes</t>
        </is>
      </c>
      <c r="C13" s="16" t="inlineStr">
        <is>
          <t>Raise credit note against OPEN invoice — outstanding reduced, status PARTIAL</t>
        </is>
      </c>
      <c r="D13" s="17" t="inlineStr">
        <is>
          <t>Positive</t>
        </is>
      </c>
      <c r="E13" s="17" t="inlineStr">
        <is>
          <t>High</t>
        </is>
      </c>
      <c r="F13" s="16" t="inlineStr">
        <is>
          <t>An OPEN invoice outstanding 1000.00 in TZS. AR.CREDITNOTE permission.</t>
        </is>
      </c>
      <c r="G13" s="16" t="inlineStr">
        <is>
          <t>1. Navigate to /admin/ar/invoices.
2. Click 'Credit note' on the invoice row.
3. Enter net=200.00, VAT=36.00, reason='Price adjustment'.
4. Submit.</t>
        </is>
      </c>
      <c r="H13" s="16" t="inlineStr">
        <is>
          <t>Invoice outstanding 1000.00; credit net=200.00, VAT=36.00 (total 236.00).</t>
        </is>
      </c>
      <c r="I13" s="16" t="inlineStr">
        <is>
          <t>HTTP 201. Invoice outstanding → 764.00, status PARTIAL. GL: DR Revenue + DR VAT / CR AR Control. AR.VIEW-only: action hidden, API 403.</t>
        </is>
      </c>
      <c r="J13" s="16" t="inlineStr">
        <is>
          <t>/admin/ar/invoices</t>
        </is>
      </c>
      <c r="K13" s="16" t="inlineStr">
        <is>
          <t>AR.CREDITNOTE</t>
        </is>
      </c>
      <c r="L13" s="16" t="inlineStr"/>
      <c r="M13" s="17" t="inlineStr">
        <is>
          <t>Not Run</t>
        </is>
      </c>
      <c r="N13" s="17" t="inlineStr"/>
      <c r="O13" s="16" t="inlineStr"/>
      <c r="P13" s="16" t="inlineStr"/>
      <c r="Q13" s="16" t="inlineStr"/>
    </row>
    <row r="14">
      <c r="A14" s="18" t="inlineStr">
        <is>
          <t>AR-012</t>
        </is>
      </c>
      <c r="B14" s="19" t="inlineStr">
        <is>
          <t>Credit Notes</t>
        </is>
      </c>
      <c r="C14" s="19" t="inlineStr">
        <is>
          <t>Credit note customerUid contract bug — FE sends numeric supplierId (defect TC-AR-026)</t>
        </is>
      </c>
      <c r="D14" s="8" t="inlineStr">
        <is>
          <t>Negative</t>
        </is>
      </c>
      <c r="E14" s="8" t="inlineStr">
        <is>
          <t>High</t>
        </is>
      </c>
      <c r="F14" s="19" t="inlineStr">
        <is>
          <t>An OPEN invoice on the list. AR.CREDITNOTE permission.</t>
        </is>
      </c>
      <c r="G14" s="19" t="inlineStr">
        <is>
          <t>1. Open the credit-note modal from an invoice row.
2. Enter valid net/VAT/reason and submit.
3. Inspect the request body (customerUid field) and the response.</t>
        </is>
      </c>
      <c r="H14" s="19" t="inlineStr">
        <is>
          <t>Any OPEN invoice.</t>
        </is>
      </c>
      <c r="I14" s="19" t="inlineStr">
        <is>
          <t>DESIRED: credit note posts successfully. DEFECT: ar-invoices-list.component.ts sends customerUid=String(inv.customerId) (numeric DB id, not the uid). Backend customers.findByCompanyIdAndUid() fails with 404/400 'Customer not found'. Capture response code; log defect if confirmed.</t>
        </is>
      </c>
      <c r="J14" s="19" t="inlineStr">
        <is>
          <t>/admin/ar/invoices</t>
        </is>
      </c>
      <c r="K14" s="19" t="inlineStr">
        <is>
          <t>AR.CREDITNOTE</t>
        </is>
      </c>
      <c r="L14" s="19" t="inlineStr"/>
      <c r="M14" s="8" t="inlineStr">
        <is>
          <t>Not Run</t>
        </is>
      </c>
      <c r="N14" s="8" t="inlineStr"/>
      <c r="O14" s="19" t="inlineStr"/>
      <c r="P14" s="19" t="inlineStr"/>
      <c r="Q14" s="19" t="inlineStr"/>
    </row>
    <row r="15">
      <c r="A15" s="15" t="inlineStr">
        <is>
          <t>AR-013</t>
        </is>
      </c>
      <c r="B15" s="16" t="inlineStr">
        <is>
          <t>Credit Notes</t>
        </is>
      </c>
      <c r="C15" s="16" t="inlineStr">
        <is>
          <t>Credit note amount exceeding outstanding rejected</t>
        </is>
      </c>
      <c r="D15" s="17" t="inlineStr">
        <is>
          <t>Negative</t>
        </is>
      </c>
      <c r="E15" s="17" t="inlineStr">
        <is>
          <t>Medium</t>
        </is>
      </c>
      <c r="F15" s="16" t="inlineStr">
        <is>
          <t>Invoice outstanding 100.00. AR.CREDITNOTE permission.</t>
        </is>
      </c>
      <c r="G15" s="16" t="inlineStr">
        <is>
          <t>1. POST credit note with total (net+VAT) = 150.00 against the invoice.</t>
        </is>
      </c>
      <c r="H15" s="16" t="inlineStr">
        <is>
          <t>Invoice outstanding 100.00; credit total 150.00.</t>
        </is>
      </c>
      <c r="I15" s="16" t="inlineStr">
        <is>
          <t>4xx 'Credit note amount exceeds outstanding'. Nothing posted. Currency mismatch (credit ≠ invoice currency) also rejected.</t>
        </is>
      </c>
      <c r="J15" s="16" t="inlineStr">
        <is>
          <t>/admin/ar/invoices</t>
        </is>
      </c>
      <c r="K15" s="16" t="inlineStr">
        <is>
          <t>AR.CREDITNOTE</t>
        </is>
      </c>
      <c r="L15" s="16" t="inlineStr"/>
      <c r="M15" s="17" t="inlineStr">
        <is>
          <t>Not Run</t>
        </is>
      </c>
      <c r="N15" s="17" t="inlineStr"/>
      <c r="O15" s="16" t="inlineStr"/>
      <c r="P15" s="16" t="inlineStr"/>
      <c r="Q15" s="16" t="inlineStr"/>
    </row>
    <row r="16">
      <c r="A16" s="18" t="inlineStr">
        <is>
          <t>AR-014</t>
        </is>
      </c>
      <c r="B16" s="19" t="inlineStr">
        <is>
          <t>Opening Balance</t>
        </is>
      </c>
      <c r="C16" s="19" t="inlineStr">
        <is>
          <t>Set AR opening balance — creates OPENING_BALANCE open item, GL DR AR / CR Equity</t>
        </is>
      </c>
      <c r="D16" s="8" t="inlineStr">
        <is>
          <t>Positive</t>
        </is>
      </c>
      <c r="E16" s="8" t="inlineStr">
        <is>
          <t>High</t>
        </is>
      </c>
      <c r="F16" s="19" t="inlineStr">
        <is>
          <t>A customer exists. AR.OPENING.SET permission. ACCOUNTS_RECEIVABLE and OPENING_BALANCE_EQUITY gl_configs mapped.</t>
        </is>
      </c>
      <c r="G16" s="19" t="inlineStr">
        <is>
          <t>1. Navigate to /admin/ar/opening-balance.
2. Pick customer by name.
3. Enter amount=5000.00, currency=TZS, invoiceDate, documentNo='OB-2026-001'.
4. Submit.</t>
        </is>
      </c>
      <c r="H16" s="19" t="inlineStr">
        <is>
          <t>Amount=5000.00; documentNo='OB-2026-001'.</t>
        </is>
      </c>
      <c r="I16" s="19" t="inlineStr">
        <is>
          <t>HTTP 201. ArInvoiceDto with source=OPENING_BALANCE, status=OPEN, outstanding=5000.00. GL: DR AR Control / CR Opening Balance Equity. Form resets after success.</t>
        </is>
      </c>
      <c r="J16" s="19" t="inlineStr">
        <is>
          <t>/admin/ar/opening-balance</t>
        </is>
      </c>
      <c r="K16" s="19" t="inlineStr">
        <is>
          <t>AR.OPENING.SET</t>
        </is>
      </c>
      <c r="L16" s="19" t="inlineStr"/>
      <c r="M16" s="8" t="inlineStr">
        <is>
          <t>Not Run</t>
        </is>
      </c>
      <c r="N16" s="8" t="inlineStr"/>
      <c r="O16" s="19" t="inlineStr"/>
      <c r="P16" s="19" t="inlineStr"/>
      <c r="Q16" s="19" t="inlineStr"/>
    </row>
    <row r="17">
      <c r="A17" s="15" t="inlineStr">
        <is>
          <t>AR-015</t>
        </is>
      </c>
      <c r="B17" s="16" t="inlineStr">
        <is>
          <t>Opening Balance</t>
        </is>
      </c>
      <c r="C17" s="16" t="inlineStr">
        <is>
          <t>AR opening balance GL failure rolls back — no open item created</t>
        </is>
      </c>
      <c r="D17" s="17" t="inlineStr">
        <is>
          <t>Negative</t>
        </is>
      </c>
      <c r="E17" s="17" t="inlineStr">
        <is>
          <t>Medium</t>
        </is>
      </c>
      <c r="F17" s="16" t="inlineStr">
        <is>
          <t>Company missing OPENING_BALANCE_EQUITY or ACCOUNTS_RECEIVABLE gl_config.</t>
        </is>
      </c>
      <c r="G17" s="16" t="inlineStr">
        <is>
          <t>1. POST an opening balance. 2. Check ar_invoices for the company.</t>
        </is>
      </c>
      <c r="H17" s="16" t="inlineStr">
        <is>
          <t>Missing gl_config.</t>
        </is>
      </c>
      <c r="I17" s="16" t="inlineStr">
        <is>
          <t>Error response. No ar_invoices row created (atomic, synchronous post).</t>
        </is>
      </c>
      <c r="J17" s="16" t="inlineStr">
        <is>
          <t>/admin/ar/opening-balance</t>
        </is>
      </c>
      <c r="K17" s="16" t="inlineStr">
        <is>
          <t>AR.OPENING.SET</t>
        </is>
      </c>
      <c r="L17" s="16" t="inlineStr"/>
      <c r="M17" s="17" t="inlineStr">
        <is>
          <t>Not Run</t>
        </is>
      </c>
      <c r="N17" s="17" t="inlineStr"/>
      <c r="O17" s="16" t="inlineStr"/>
      <c r="P17" s="16" t="inlineStr"/>
      <c r="Q17" s="16" t="inlineStr"/>
    </row>
    <row r="18">
      <c r="A18" s="18" t="inlineStr">
        <is>
          <t>AR-016</t>
        </is>
      </c>
      <c r="B18" s="19" t="inlineStr">
        <is>
          <t>Statement &amp; Ageing</t>
        </is>
      </c>
      <c r="C18" s="19" t="inlineStr">
        <is>
          <t>Customer statement renders total outstanding, ageing buckets, open items, recent receipts</t>
        </is>
      </c>
      <c r="D18" s="8" t="inlineStr">
        <is>
          <t>Positive</t>
        </is>
      </c>
      <c r="E18" s="8" t="inlineStr">
        <is>
          <t>High</t>
        </is>
      </c>
      <c r="F18" s="19" t="inlineStr">
        <is>
          <t>Customer with OPEN/PARTIAL invoices across due-date ranges and at least 1 receipt. AR.STATEMENT.VIEW permission.</t>
        </is>
      </c>
      <c r="G18" s="19" t="inlineStr">
        <is>
          <t>1. Navigate to /admin/ar/statement.
2. Pick customer by name.
3. Read totalOutstanding headline, ageing-bucket table, open-items table, last-10 receipts.</t>
        </is>
      </c>
      <c r="H18" s="19" t="inlineStr">
        <is>
          <t>Customer with invoices in CURRENT, D1_30, D31_60 buckets.</t>
        </is>
      </c>
      <c r="I18" s="19" t="inlineStr">
        <is>
          <t>totalOutstanding == sum of OPEN/PARTIAL outstanding. Ageing buckets: CURRENT/D1_30/D31_60/D61_90/D90_PLUS. Statement call: DEFECT WATCH — FE sends customerUid but controller requires customerId (Long) — if 400/type-bind error occurs, confirm defect TC-AR-042.</t>
        </is>
      </c>
      <c r="J18" s="19" t="inlineStr">
        <is>
          <t>/admin/ar/statement</t>
        </is>
      </c>
      <c r="K18" s="19" t="inlineStr">
        <is>
          <t>AR.STATEMENT.VIEW</t>
        </is>
      </c>
      <c r="L18" s="19" t="inlineStr"/>
      <c r="M18" s="8" t="inlineStr">
        <is>
          <t>Not Run</t>
        </is>
      </c>
      <c r="N18" s="8" t="inlineStr"/>
      <c r="O18" s="19" t="inlineStr"/>
      <c r="P18" s="19" t="inlineStr"/>
      <c r="Q18" s="19" t="inlineStr"/>
    </row>
    <row r="19">
      <c r="A19" s="15" t="inlineStr">
        <is>
          <t>AR-017</t>
        </is>
      </c>
      <c r="B19" s="16" t="inlineStr">
        <is>
          <t>Statement &amp; Ageing</t>
        </is>
      </c>
      <c r="C19" s="16" t="inlineStr">
        <is>
          <t>Ageing bucket classification boundaries — CURRENT/D1_30/D31_60/D61_90/D90_PLUS</t>
        </is>
      </c>
      <c r="D19" s="17" t="inlineStr">
        <is>
          <t>Positive</t>
        </is>
      </c>
      <c r="E19" s="17" t="inlineStr">
        <is>
          <t>High</t>
        </is>
      </c>
      <c r="F19" s="16" t="inlineStr">
        <is>
          <t>One OPEN invoice per boundary: due=today(0), overdue 1d, 30d, 31d, 60d, 61d, 90d, 91d+. AR.STATEMENT.VIEW.</t>
        </is>
      </c>
      <c r="G19" s="16" t="inlineStr">
        <is>
          <t>1. GET /api/v1/ar/ageing?companyId=&lt;id&gt;&amp;customerId=&lt;id&gt;&amp;asAt=today.
2. Read buckets and amounts.</t>
        </is>
      </c>
      <c r="H19" s="16" t="inlineStr">
        <is>
          <t>8 invoices with daysOverdue spanning each boundary.</t>
        </is>
      </c>
      <c r="I19" s="16" t="inlineStr">
        <is>
          <t>daysOverdue&lt;=0 → CURRENT; 1-30 → D1_30; 31-60 → D31_60; 61-90 → D61_90; &gt;=91 → D90_PLUS. Backend AgeingBucket enum: CURRENT, D1_30, D31_60, D61_90, D90_PLUS (NOT DAYS_1_30 etc — that is the FE mismatch).</t>
        </is>
      </c>
      <c r="J19" s="16" t="inlineStr">
        <is>
          <t>/admin/ar/ageing</t>
        </is>
      </c>
      <c r="K19" s="16" t="inlineStr">
        <is>
          <t>AR.STATEMENT.VIEW</t>
        </is>
      </c>
      <c r="L19" s="16" t="inlineStr"/>
      <c r="M19" s="17" t="inlineStr">
        <is>
          <t>Not Run</t>
        </is>
      </c>
      <c r="N19" s="17" t="inlineStr"/>
      <c r="O19" s="16" t="inlineStr"/>
      <c r="P19" s="16" t="inlineStr"/>
      <c r="Q19" s="16" t="inlineStr"/>
    </row>
    <row r="20">
      <c r="A20" s="18" t="inlineStr">
        <is>
          <t>AR-018</t>
        </is>
      </c>
      <c r="B20" s="19" t="inlineStr">
        <is>
          <t>Statement &amp; Ageing</t>
        </is>
      </c>
      <c r="C20" s="19" t="inlineStr">
        <is>
          <t>Ageing FE↔BE param and shape mismatch — defect TC-AR-043</t>
        </is>
      </c>
      <c r="D20" s="8" t="inlineStr">
        <is>
          <t>Negative</t>
        </is>
      </c>
      <c r="E20" s="8" t="inlineStr">
        <is>
          <t>High</t>
        </is>
      </c>
      <c r="F20" s="19" t="inlineStr">
        <is>
          <t>Company with aged invoices. AR.STATEMENT.VIEW permission.</t>
        </is>
      </c>
      <c r="G20" s="19" t="inlineStr">
        <is>
          <t>1. Navigate to /admin/ar/ageing.
2. Observe the GET /ar/ageing network call and its params.
3. Observe the response shape and rendered labels.</t>
        </is>
      </c>
      <c r="H20" s="19" t="inlineStr">
        <is>
          <t>Company with invoices in multiple buckets.</t>
        </is>
      </c>
      <c r="I20" s="19" t="inlineStr">
        <is>
          <t>DEFECT (3 parts): (a) FE omits customerId, BE requires it — expect 400. (b) BE returns List&lt;{bucket,amount,currency}&gt; per bucket; FE model expects per-customer rows {customerCode, current, days1to30...} — render mismatch. (c) FE bucket labels (DAYS_1_30, DAYS_91_PLUS) differ from BE enum (D1_30, D90_PLUS). Assert and log all three parts.</t>
        </is>
      </c>
      <c r="J20" s="19" t="inlineStr">
        <is>
          <t>/admin/ar/ageing</t>
        </is>
      </c>
      <c r="K20" s="19" t="inlineStr">
        <is>
          <t>AR.STATEMENT.VIEW</t>
        </is>
      </c>
      <c r="L20" s="19" t="inlineStr"/>
      <c r="M20" s="8" t="inlineStr">
        <is>
          <t>Not Run</t>
        </is>
      </c>
      <c r="N20" s="8" t="inlineStr"/>
      <c r="O20" s="19" t="inlineStr"/>
      <c r="P20" s="19" t="inlineStr"/>
      <c r="Q20" s="19" t="inlineStr"/>
    </row>
    <row r="21">
      <c r="A21" s="15" t="inlineStr">
        <is>
          <t>AR-019</t>
        </is>
      </c>
      <c r="B21" s="16" t="inlineStr">
        <is>
          <t>Status Lifecycle</t>
        </is>
      </c>
      <c r="C21" s="16" t="inlineStr">
        <is>
          <t>Invoice status lifecycle: OPEN → PARTIAL → PAID via receipts</t>
        </is>
      </c>
      <c r="D21" s="17" t="inlineStr">
        <is>
          <t>Positive</t>
        </is>
      </c>
      <c r="E21" s="17" t="inlineStr">
        <is>
          <t>High</t>
        </is>
      </c>
      <c r="F21" s="16" t="inlineStr">
        <is>
          <t>One OPEN invoice outstanding 1000.00. AR.RECEIPT.RECORD + AR.VIEW.</t>
        </is>
      </c>
      <c r="G21" s="16" t="inlineStr">
        <is>
          <t>1. Record receipt 400.00 allocated to the invoice → check status.
2. Record receipt 600.00 allocated to the remaining → check status.
3. Verify on list each time.</t>
        </is>
      </c>
      <c r="H21" s="16" t="inlineStr">
        <is>
          <t>Invoice outstanding 1000.00; receipts 400 + 600.</t>
        </is>
      </c>
      <c r="I21" s="16" t="inlineStr">
        <is>
          <t>After step 1: status=PARTIAL, outstanding=600.00. After step 2: status=PAID, outstanding=0.00. Attempting to allocate to a PAID invoice rejected.</t>
        </is>
      </c>
      <c r="J21" s="16" t="inlineStr">
        <is>
          <t>/admin/ar/invoices</t>
        </is>
      </c>
      <c r="K21" s="16" t="inlineStr">
        <is>
          <t>AR.RECEIPT.RECORD</t>
        </is>
      </c>
      <c r="L21" s="16" t="inlineStr"/>
      <c r="M21" s="17" t="inlineStr">
        <is>
          <t>Not Run</t>
        </is>
      </c>
      <c r="N21" s="17" t="inlineStr"/>
      <c r="O21" s="16" t="inlineStr"/>
      <c r="P21" s="16" t="inlineStr"/>
      <c r="Q21" s="16" t="inlineStr"/>
    </row>
    <row r="22">
      <c r="A22" s="18" t="inlineStr">
        <is>
          <t>AR-020</t>
        </is>
      </c>
      <c r="B22" s="19" t="inlineStr">
        <is>
          <t>Status Lifecycle</t>
        </is>
      </c>
      <c r="C22" s="19" t="inlineStr">
        <is>
          <t>Invoice status lifecycle: OPEN → WRITTEN_OFF (terminal) — subsequent allocations blocked</t>
        </is>
      </c>
      <c r="D22" s="8" t="inlineStr">
        <is>
          <t>Positive</t>
        </is>
      </c>
      <c r="E22" s="8" t="inlineStr">
        <is>
          <t>High</t>
        </is>
      </c>
      <c r="F22" s="19" t="inlineStr">
        <is>
          <t>One OPEN invoice. AR.WRITEOFF + AR.RECEIPT.RECORD.</t>
        </is>
      </c>
      <c r="G22" s="19" t="inlineStr">
        <is>
          <t>1. Write off the invoice.
2. Attempt to record a receipt allocated to the written-off invoice.
3. Attempt a second write-off.</t>
        </is>
      </c>
      <c r="H22" s="19" t="inlineStr">
        <is>
          <t>OPEN invoice outstanding 500.00.</t>
        </is>
      </c>
      <c r="I22" s="19" t="inlineStr">
        <is>
          <t>Invoice → WRITTEN_OFF (terminal). Receipt allocation editor does not show WRITTEN_OFF items (only OPEN/PARTIAL fetched). Second write-off → 'already WRITTEN_OFF' rejection.</t>
        </is>
      </c>
      <c r="J22" s="19" t="inlineStr">
        <is>
          <t>/admin/ar/invoices</t>
        </is>
      </c>
      <c r="K22" s="19" t="inlineStr">
        <is>
          <t>AR.WRITEOFF</t>
        </is>
      </c>
      <c r="L22" s="19" t="inlineStr"/>
      <c r="M22" s="8" t="inlineStr">
        <is>
          <t>Not Run</t>
        </is>
      </c>
      <c r="N22" s="8" t="inlineStr"/>
      <c r="O22" s="19" t="inlineStr"/>
      <c r="P22" s="19" t="inlineStr"/>
      <c r="Q22" s="19" t="inlineStr"/>
    </row>
    <row r="23">
      <c r="A23" s="15" t="inlineStr">
        <is>
          <t>AR-021</t>
        </is>
      </c>
      <c r="B23" s="16" t="inlineStr">
        <is>
          <t>RBAC</t>
        </is>
      </c>
      <c r="C23" s="16" t="inlineStr">
        <is>
          <t>AR.VIEW-only role — can view but cannot record receipt, write-off, or raise credit note</t>
        </is>
      </c>
      <c r="D23" s="17" t="inlineStr">
        <is>
          <t>Permission</t>
        </is>
      </c>
      <c r="E23" s="17" t="inlineStr">
        <is>
          <t>High</t>
        </is>
      </c>
      <c r="F23" s="16" t="inlineStr">
        <is>
          <t>Custom role with AR.VIEW only. Logged in as that user.</t>
        </is>
      </c>
      <c r="G23" s="16" t="inlineStr">
        <is>
          <t>1. Open /admin/ar/invoices — list renders.
2. Confirm Write-off and Credit-note actions absent.
3. Confirm 'Record Receipt' nav item hidden.
4. POST to /ar/receipts, /ar/write-offs, /ar/credit-notes directly.</t>
        </is>
      </c>
      <c r="H23" s="16" t="inlineStr">
        <is>
          <t>AR.VIEW only custom role.</t>
        </is>
      </c>
      <c r="I23" s="16" t="inlineStr">
        <is>
          <t>List renders. All write actions hidden. All direct API POSTs return 403.</t>
        </is>
      </c>
      <c r="J23" s="16" t="inlineStr">
        <is>
          <t>/admin/ar/invoices</t>
        </is>
      </c>
      <c r="K23" s="16" t="inlineStr">
        <is>
          <t>AR.VIEW (denied for write actions)</t>
        </is>
      </c>
      <c r="L23" s="16" t="inlineStr"/>
      <c r="M23" s="17" t="inlineStr">
        <is>
          <t>Not Run</t>
        </is>
      </c>
      <c r="N23" s="17" t="inlineStr"/>
      <c r="O23" s="16" t="inlineStr"/>
      <c r="P23" s="16" t="inlineStr"/>
      <c r="Q23" s="16" t="inlineStr"/>
    </row>
    <row r="24">
      <c r="A24" s="18" t="inlineStr">
        <is>
          <t>AR-022</t>
        </is>
      </c>
      <c r="B24" s="19" t="inlineStr">
        <is>
          <t>Multi-Tenancy</t>
        </is>
      </c>
      <c r="C24" s="19" t="inlineStr">
        <is>
          <t>AR data is company-scoped — cross-company invoices, receipts, write-offs denied</t>
        </is>
      </c>
      <c r="D24" s="8" t="inlineStr">
        <is>
          <t>Negative</t>
        </is>
      </c>
      <c r="E24" s="8" t="inlineStr">
        <is>
          <t>High</t>
        </is>
      </c>
      <c r="F24" s="19" t="inlineStr">
        <is>
          <t>Tenant A and Tenant B each with AR data. Logged in as Tenant-A ORG_ADMIN.</t>
        </is>
      </c>
      <c r="G24" s="19" t="inlineStr">
        <is>
          <t>1. List /api/v1/ar/invoices?companyId=&lt;A&gt; → only A's rows.
2. List /api/v1/ar/invoices?companyId=&lt;B&gt; → 403.
3. GET /api/v1/ar/receipts/uid/&lt;B-receipt-uid&gt; → 403.</t>
        </is>
      </c>
      <c r="H24" s="19" t="inlineStr">
        <is>
          <t>Tenant B invoice uid; Tenant B receipt uid.</t>
        </is>
      </c>
      <c r="I24" s="19" t="inlineStr">
        <is>
          <t>Scope guard assertCanActIn denies all cross-company reads. No Tenant B data leaks.</t>
        </is>
      </c>
      <c r="J24" s="19" t="inlineStr">
        <is>
          <t>/admin/ar/invoices</t>
        </is>
      </c>
      <c r="K24" s="19" t="inlineStr">
        <is>
          <t>AR.VIEW</t>
        </is>
      </c>
      <c r="L24" s="19" t="inlineStr"/>
      <c r="M24" s="8" t="inlineStr">
        <is>
          <t>Not Run</t>
        </is>
      </c>
      <c r="N24" s="8" t="inlineStr"/>
      <c r="O24" s="19" t="inlineStr"/>
      <c r="P24" s="19" t="inlineStr"/>
      <c r="Q24" s="19" t="inlineStr"/>
    </row>
    <row r="25">
      <c r="A25" s="15" t="inlineStr">
        <is>
          <t>AR-023</t>
        </is>
      </c>
      <c r="B25" s="16" t="inlineStr">
        <is>
          <t>Accessibility</t>
        </is>
      </c>
      <c r="C25" s="16" t="inlineStr">
        <is>
          <t>Axe accessibility sweep on all AR screens including modals</t>
        </is>
      </c>
      <c r="D25" s="17" t="inlineStr">
        <is>
          <t>Positive</t>
        </is>
      </c>
      <c r="E25" s="17" t="inlineStr">
        <is>
          <t>Medium</t>
        </is>
      </c>
      <c r="F25" s="16" t="inlineStr">
        <is>
          <t>ACCOUNTANT (AR.VIEW + AR.WRITEOFF + AR.CREDITNOTE + AR.RECEIPT.RECORD + AR.STATEMENT.VIEW + AR.OPENING.SET) logged in.</t>
        </is>
      </c>
      <c r="G25" s="16" t="inlineStr">
        <is>
          <t>1. Run axe on: /admin/ar/invoices, /ar/receipts, /ar/receipts/record, /ar/receipts/uid/:uid, /ar/statement, /ar/ageing, /ar/opening-balance.
2. Open write-off and credit-note modals via keyboard; run axe on each open modal.</t>
        </is>
      </c>
      <c r="H25" s="16" t="inlineStr">
        <is>
          <t>All AR screens loaded with data.</t>
        </is>
      </c>
      <c r="I25" s="16" t="inlineStr">
        <is>
          <t>Axe-clean WCAG 2.1 AA. Tables: captions + scope. Modals: aria-modal, labelled title, focus-trapped, closable via close button/backdrop. Typeahead pickers: role=listbox / role=option, keyboard-reachable.</t>
        </is>
      </c>
      <c r="J25" s="16" t="inlineStr">
        <is>
          <t>/admin/ar/invoices</t>
        </is>
      </c>
      <c r="K25" s="16" t="inlineStr">
        <is>
          <t>AR.VIEW + AR.WRITEOFF + AR.CREDITNOTE + AR.RECEIPT.RECORD</t>
        </is>
      </c>
      <c r="L25" s="16" t="inlineStr"/>
      <c r="M25" s="17" t="inlineStr">
        <is>
          <t>Not Run</t>
        </is>
      </c>
      <c r="N25" s="17" t="inlineStr"/>
      <c r="O25" s="16" t="inlineStr"/>
      <c r="P25" s="16" t="inlineStr"/>
      <c r="Q25" s="16" t="inlineStr"/>
    </row>
  </sheetData>
  <autoFilter ref="A2:Q25"/>
  <mergeCells count="1">
    <mergeCell ref="A1:Q1"/>
  </mergeCells>
  <dataValidations count="4">
    <dataValidation sqref="D3:D25" showDropDown="0" showInputMessage="0" showErrorMessage="0" allowBlank="1" type="list">
      <formula1>"Positive,Negative,Permission,Edge"</formula1>
    </dataValidation>
    <dataValidation sqref="E3:E25" showDropDown="0" showInputMessage="0" showErrorMessage="0" allowBlank="1" type="list">
      <formula1>"High,Medium,Low"</formula1>
    </dataValidation>
    <dataValidation sqref="M3:M25" showDropDown="0" showInputMessage="0" showErrorMessage="0" allowBlank="1" type="list">
      <formula1>"Not Run,Pass,Fail,Blocked,N/A"</formula1>
    </dataValidation>
    <dataValidation sqref="N3:N25" showDropDown="0" showInputMessage="0" showErrorMessage="0" allowBlank="1" type="list">
      <formula1>"-,Critical,High,Medium,Low"</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22"/>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Accounts Payable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AP-001</t>
        </is>
      </c>
      <c r="B3" s="16" t="inlineStr">
        <is>
          <t>Supplier Bills</t>
        </is>
      </c>
      <c r="C3" s="16" t="inlineStr">
        <is>
          <t>Payables list visible to AP.VIEW (ORG_ADMIN); hidden for no-permission user</t>
        </is>
      </c>
      <c r="D3" s="17" t="inlineStr">
        <is>
          <t>Positive</t>
        </is>
      </c>
      <c r="E3" s="17" t="inlineStr">
        <is>
          <t>High</t>
        </is>
      </c>
      <c r="F3" s="16" t="inlineStr">
        <is>
          <t>At least one supplier bill exists. Logged in as ORG_ADMIN (AP.VIEW). NOTE: ACCOUNTANT and PURCHASE_OFFICER are NOT seeded with AP.* perms per V12 — only ORG_ADMIN.</t>
        </is>
      </c>
      <c r="G3" s="16" t="inlineStr">
        <is>
          <t>1. Log in as ORG_ADMIN; navigate to /admin/ap/supplier-bills.
2. Confirm table renders with columns: Bill No., Supplier Inv. No., Supplier, Bill/Due dates, Gross, Outstanding, Currency, Status, Source.
3. Log in as NO-PERMISSION user; confirm nav hidden and direct route blocked.</t>
        </is>
      </c>
      <c r="H3" s="16" t="inlineStr">
        <is>
          <t>Company 'Acme TZ Ltd' with at least one supplier bill.</t>
        </is>
      </c>
      <c r="I3" s="16" t="inlineStr">
        <is>
          <t>ORG_ADMIN: table renders, paginator present, ApiResponse with meta. NO-PERMISSION: route guard redirects, forbidden alert shown, API 403.</t>
        </is>
      </c>
      <c r="J3" s="16" t="inlineStr">
        <is>
          <t>/admin/ap/supplier-bills</t>
        </is>
      </c>
      <c r="K3" s="16" t="inlineStr">
        <is>
          <t>AP.VIEW</t>
        </is>
      </c>
      <c r="L3" s="16" t="inlineStr"/>
      <c r="M3" s="17" t="inlineStr">
        <is>
          <t>Not Run</t>
        </is>
      </c>
      <c r="N3" s="17" t="inlineStr"/>
      <c r="O3" s="16" t="inlineStr"/>
      <c r="P3" s="16" t="inlineStr"/>
      <c r="Q3" s="16" t="inlineStr"/>
    </row>
    <row r="4">
      <c r="A4" s="18" t="inlineStr">
        <is>
          <t>AP-002</t>
        </is>
      </c>
      <c r="B4" s="19" t="inlineStr">
        <is>
          <t>Supplier Bills</t>
        </is>
      </c>
      <c r="C4" s="19" t="inlineStr">
        <is>
          <t>Supplier column shows numeric id instead of name — DEF-AP-04 (defect hunt)</t>
        </is>
      </c>
      <c r="D4" s="8" t="inlineStr">
        <is>
          <t>Negative</t>
        </is>
      </c>
      <c r="E4" s="8" t="inlineStr">
        <is>
          <t>Medium</t>
        </is>
      </c>
      <c r="F4" s="19" t="inlineStr">
        <is>
          <t>A bill for a named supplier. ORG_ADMIN logged in.</t>
        </is>
      </c>
      <c r="G4" s="19" t="inlineStr">
        <is>
          <t>1. Open /admin/ap/supplier-bills.
2. Inspect the Supplier column on any row.</t>
        </is>
      </c>
      <c r="H4" s="19" t="inlineStr">
        <is>
          <t>Bill for supplier 'Dar Wholesalers'.</t>
        </is>
      </c>
      <c r="I4" s="19" t="inlineStr">
        <is>
          <t>DESIRED: human-readable supplier name/code shown. DEFECT: bill.supplierId (numeric DB id) is rendered — C1 violation. Capture the actual rendered value; log DEF-AP-04 if confirmed.</t>
        </is>
      </c>
      <c r="J4" s="19" t="inlineStr">
        <is>
          <t>/admin/ap/supplier-bills</t>
        </is>
      </c>
      <c r="K4" s="19" t="inlineStr">
        <is>
          <t>AP.VIEW</t>
        </is>
      </c>
      <c r="L4" s="19" t="inlineStr"/>
      <c r="M4" s="8" t="inlineStr">
        <is>
          <t>Not Run</t>
        </is>
      </c>
      <c r="N4" s="8" t="inlineStr"/>
      <c r="O4" s="19" t="inlineStr"/>
      <c r="P4" s="19" t="inlineStr"/>
      <c r="Q4" s="19" t="inlineStr"/>
    </row>
    <row r="5">
      <c r="A5" s="15" t="inlineStr">
        <is>
          <t>AP-003</t>
        </is>
      </c>
      <c r="B5" s="16" t="inlineStr">
        <is>
          <t>Supplier Bills</t>
        </is>
      </c>
      <c r="C5" s="16" t="inlineStr">
        <is>
          <t>Enter GOODS bill against PO — auto 3-way match → MATCHED + GL posted</t>
        </is>
      </c>
      <c r="D5" s="17" t="inlineStr">
        <is>
          <t>Positive</t>
        </is>
      </c>
      <c r="E5" s="17" t="inlineStr">
        <is>
          <t>High</t>
        </is>
      </c>
      <c r="F5" s="16" t="inlineStr">
        <is>
          <t>Approved PO and goods receipt exist for the supplier. ORG_ADMIN (AP.BILL.ENTER + AP.BILL.MATCH). Line cost within 2% tolerance of PO.</t>
        </is>
      </c>
      <c r="G5" s="16" t="inlineStr">
        <is>
          <t>1. Navigate to /admin/ap/supplier-bills/enter.
2. Pick supplier by name (typeahead).
3. Pick PO via picker by PO number. Select PO line per bill line.
4. Enter supplier invoice no, bill date, due date, VAT amount, currency TZS.
5. Add line: description, billed qty=10, unit cost=1000.00.
6. Submit.</t>
        </is>
      </c>
      <c r="H5" s="16" t="inlineStr">
        <is>
          <t>supplierInvoiceNo='INV-9001'; line qty=10 @ 1000.00; PO cost=1000.00.</t>
        </is>
      </c>
      <c r="I5" s="16" t="inlineStr">
        <is>
          <t>HTTP 201 with DRAFT bill (BILL-####). Inline match returns BillMatchResultDto with each line MATCHED. Bill status → MATCHED. GL: DR Purchases / CR AP-Control posted (postedGlEntryUid appears). ACCOUNTANT: route forbidden (no AP grants per V12).</t>
        </is>
      </c>
      <c r="J5" s="16" t="inlineStr">
        <is>
          <t>/admin/ap/supplier-bills/enter</t>
        </is>
      </c>
      <c r="K5" s="16" t="inlineStr">
        <is>
          <t>AP.BILL.ENTER + AP.BILL.MATCH</t>
        </is>
      </c>
      <c r="L5" s="16" t="inlineStr"/>
      <c r="M5" s="17" t="inlineStr">
        <is>
          <t>Not Run</t>
        </is>
      </c>
      <c r="N5" s="17" t="inlineStr"/>
      <c r="O5" s="16" t="inlineStr"/>
      <c r="P5" s="16" t="inlineStr"/>
      <c r="Q5" s="16" t="inlineStr"/>
    </row>
    <row r="6">
      <c r="A6" s="18" t="inlineStr">
        <is>
          <t>AP-004</t>
        </is>
      </c>
      <c r="B6" s="19" t="inlineStr">
        <is>
          <t>Supplier Bills</t>
        </is>
      </c>
      <c r="C6" s="19" t="inlineStr">
        <is>
          <t>Bill held on price variance &gt; 2% tolerance; accept variance → MATCHED + GL posts</t>
        </is>
      </c>
      <c r="D6" s="8" t="inlineStr">
        <is>
          <t>Positive</t>
        </is>
      </c>
      <c r="E6" s="8" t="inlineStr">
        <is>
          <t>High</t>
        </is>
      </c>
      <c r="F6" s="19" t="inlineStr">
        <is>
          <t>PO line cost 1000.00. ORG_ADMIN (AP.BILL.MATCH). Bill to be entered at 1200.00.</t>
        </is>
      </c>
      <c r="G6" s="19" t="inlineStr">
        <is>
          <t>1. Enter bill with unit cost=1200.00 (20% over PO cost).
2. Observe inline match result after submit.
3. Confirm bill status=HELD, no GL posted yet.
4. Click 'Accept Variance' for the line.
5. Confirm bill → MATCHED and GL is posted.</t>
        </is>
      </c>
      <c r="H6" s="19" t="inlineStr">
        <is>
          <t>PO cost 1000.00; billed 1200.00.</t>
        </is>
      </c>
      <c r="I6" s="19" t="inlineStr">
        <is>
          <t>After step 2: line badge HELD_PRICE_VARIANCE with priceVarianceAmount/priceVariancePct. Bill=HELD. After step 4: line=VARIANCE_ACCEPTED, bill=MATCHED, GL posted. User without AP.BILL.MATCH cannot accept (403).</t>
        </is>
      </c>
      <c r="J6" s="19" t="inlineStr">
        <is>
          <t>/admin/ap/supplier-bills/enter</t>
        </is>
      </c>
      <c r="K6" s="19" t="inlineStr">
        <is>
          <t>AP.BILL.MATCH</t>
        </is>
      </c>
      <c r="L6" s="19" t="inlineStr"/>
      <c r="M6" s="8" t="inlineStr">
        <is>
          <t>Not Run</t>
        </is>
      </c>
      <c r="N6" s="8" t="inlineStr"/>
      <c r="O6" s="19" t="inlineStr"/>
      <c r="P6" s="19" t="inlineStr"/>
      <c r="Q6" s="19" t="inlineStr"/>
    </row>
    <row r="7">
      <c r="A7" s="15" t="inlineStr">
        <is>
          <t>AP-005</t>
        </is>
      </c>
      <c r="B7" s="16" t="inlineStr">
        <is>
          <t>Supplier Bills</t>
        </is>
      </c>
      <c r="C7" s="16" t="inlineStr">
        <is>
          <t>Re-running match on a PAID bill is rejected (illegal transition)</t>
        </is>
      </c>
      <c r="D7" s="17" t="inlineStr">
        <is>
          <t>Negative</t>
        </is>
      </c>
      <c r="E7" s="17" t="inlineStr">
        <is>
          <t>Medium</t>
        </is>
      </c>
      <c r="F7" s="16" t="inlineStr">
        <is>
          <t>A fully-paid bill (status=PAID). ORG_ADMIN (AP.BILL.MATCH).</t>
        </is>
      </c>
      <c r="G7" s="16" t="inlineStr">
        <is>
          <t>1. POST /api/v1/ap/supplier-bills/uid/{paidBillUid}/match/run.</t>
        </is>
      </c>
      <c r="H7" s="16" t="inlineStr">
        <is>
          <t>A bill with status=PAID.</t>
        </is>
      </c>
      <c r="I7" s="16" t="inlineStr">
        <is>
          <t>4xx/409 rejected — only DRAFT/HELD are matchable. Bill remains PAID. No double posting.</t>
        </is>
      </c>
      <c r="J7" s="16" t="inlineStr">
        <is>
          <t>/admin/ap/supplier-bills/uid/:uid</t>
        </is>
      </c>
      <c r="K7" s="16" t="inlineStr">
        <is>
          <t>AP.BILL.MATCH</t>
        </is>
      </c>
      <c r="L7" s="16" t="inlineStr"/>
      <c r="M7" s="17" t="inlineStr">
        <is>
          <t>Not Run</t>
        </is>
      </c>
      <c r="N7" s="17" t="inlineStr"/>
      <c r="O7" s="16" t="inlineStr"/>
      <c r="P7" s="16" t="inlineStr"/>
      <c r="Q7" s="16" t="inlineStr"/>
    </row>
    <row r="8">
      <c r="A8" s="18" t="inlineStr">
        <is>
          <t>AP-006</t>
        </is>
      </c>
      <c r="B8" s="19" t="inlineStr">
        <is>
          <t>Payments</t>
        </is>
      </c>
      <c r="C8" s="19" t="inlineStr">
        <is>
          <t>Payment run over selected MATCHED bills — PAYMENT_RUN kind, GL posted atomically</t>
        </is>
      </c>
      <c r="D8" s="8" t="inlineStr">
        <is>
          <t>Positive</t>
        </is>
      </c>
      <c r="E8" s="8" t="inlineStr">
        <is>
          <t>High</t>
        </is>
      </c>
      <c r="F8" s="19" t="inlineStr">
        <is>
          <t>Supplier with at least 2 MATCHED bills. ORG_ADMIN (AP.PAYMENT.RUN).</t>
        </is>
      </c>
      <c r="G8" s="19" t="inlineStr">
        <is>
          <t>1. Navigate to /admin/ap/payments/record.
2. Pick supplier by name.
3. Select all payable bills; confirm Selected count and total update.
4. Payment date=today, tender=BANK_TRANSFER, bankReference='TT-55'.
5. Submit.</t>
        </is>
      </c>
      <c r="H8" s="19" t="inlineStr">
        <is>
          <t>2 bills: 1000.00 + 500.00; tender=BANK_TRANSFER.</t>
        </is>
      </c>
      <c r="I8" s="19" t="inlineStr">
        <is>
          <t>HTTP 201 with ApPaymentDto (kind=PAYMENT_RUN, PAYRUN-####). Each bill moves to PARTIALLY_PAID/PAID. GL: DR AP / CR Cash posted atomically. NOTE: controller returns single ApPaymentDto but FE types response as ApPaymentDto[] — flag render issue if occurs.</t>
        </is>
      </c>
      <c r="J8" s="19" t="inlineStr">
        <is>
          <t>/admin/ap/payments/record</t>
        </is>
      </c>
      <c r="K8" s="19" t="inlineStr">
        <is>
          <t>AP.PAYMENT.RUN</t>
        </is>
      </c>
      <c r="L8" s="19" t="inlineStr"/>
      <c r="M8" s="8" t="inlineStr">
        <is>
          <t>Not Run</t>
        </is>
      </c>
      <c r="N8" s="8" t="inlineStr"/>
      <c r="O8" s="19" t="inlineStr"/>
      <c r="P8" s="19" t="inlineStr"/>
      <c r="Q8" s="19" t="inlineStr"/>
    </row>
    <row r="9">
      <c r="A9" s="15" t="inlineStr">
        <is>
          <t>AP-007</t>
        </is>
      </c>
      <c r="B9" s="16" t="inlineStr">
        <is>
          <t>Payments</t>
        </is>
      </c>
      <c r="C9" s="16" t="inlineStr">
        <is>
          <t>Payment run with WHT-on-payment — Cash CR reduced by WHT, WHT leg posted</t>
        </is>
      </c>
      <c r="D9" s="17" t="inlineStr">
        <is>
          <t>Positive</t>
        </is>
      </c>
      <c r="E9" s="17" t="inlineStr">
        <is>
          <t>High</t>
        </is>
      </c>
      <c r="F9" s="16" t="inlineStr">
        <is>
          <t>Active WHT type with kind=WHT_ON_PAYMENT. A payable bill. ORG_ADMIN (AP.PAYMENT.RUN).</t>
        </is>
      </c>
      <c r="G9" s="16" t="inlineStr">
        <is>
          <t>1. On Record Payment, pick supplier; select a bill.
2. Choose WHT type by name, enter whtAmount=50.00.
3. Submit.</t>
        </is>
      </c>
      <c r="H9" s="16" t="inlineStr">
        <is>
          <t>Bill outstanding 1000.00; WHT=50.00.</t>
        </is>
      </c>
      <c r="I9" s="16" t="inlineStr">
        <is>
          <t>HTTP 201. Cash CR = 950.00; WHT payable leg captured. Payment recorded for gross with WHT withheld. WHT amount 0/blank → no WHT leg sent.</t>
        </is>
      </c>
      <c r="J9" s="16" t="inlineStr">
        <is>
          <t>/admin/ap/payments/record</t>
        </is>
      </c>
      <c r="K9" s="16" t="inlineStr">
        <is>
          <t>AP.PAYMENT.RUN</t>
        </is>
      </c>
      <c r="L9" s="16" t="inlineStr"/>
      <c r="M9" s="17" t="inlineStr">
        <is>
          <t>Not Run</t>
        </is>
      </c>
      <c r="N9" s="17" t="inlineStr"/>
      <c r="O9" s="16" t="inlineStr"/>
      <c r="P9" s="16" t="inlineStr"/>
      <c r="Q9" s="16" t="inlineStr"/>
    </row>
    <row r="10">
      <c r="A10" s="18" t="inlineStr">
        <is>
          <t>AP-008</t>
        </is>
      </c>
      <c r="B10" s="19" t="inlineStr">
        <is>
          <t>Payments</t>
        </is>
      </c>
      <c r="C10" s="19" t="inlineStr">
        <is>
          <t>Pay single bill — partial payment (SINGLE kind) → bill PARTIALLY_PAID</t>
        </is>
      </c>
      <c r="D10" s="8" t="inlineStr">
        <is>
          <t>Positive</t>
        </is>
      </c>
      <c r="E10" s="8" t="inlineStr">
        <is>
          <t>High</t>
        </is>
      </c>
      <c r="F10" s="19" t="inlineStr">
        <is>
          <t>One MATCHED bill outstanding 1000.00. ORG_ADMIN (AP.PAYMENT.RUN).</t>
        </is>
      </c>
      <c r="G10" s="19" t="inlineStr">
        <is>
          <t>1. Navigate to /admin/ap/payments.
2. Open 'Pay Single Bill' form; pick bill by number.
3. Amount=400.00, tender=CASH.
4. Submit.</t>
        </is>
      </c>
      <c r="H10" s="19" t="inlineStr">
        <is>
          <t>Bill BILL-0010 outstanding 1000.00; payment 400.00.</t>
        </is>
      </c>
      <c r="I10" s="19" t="inlineStr">
        <is>
          <t>HTTP 201. ApPaymentDto kind=SINGLE, allocation=400.00. Bill → PARTIALLY_PAID, outstanding=600.00. GL: DR AP / CR Cash.</t>
        </is>
      </c>
      <c r="J10" s="19" t="inlineStr">
        <is>
          <t>/admin/ap/payments</t>
        </is>
      </c>
      <c r="K10" s="19" t="inlineStr">
        <is>
          <t>AP.PAYMENT.RUN</t>
        </is>
      </c>
      <c r="L10" s="19" t="inlineStr"/>
      <c r="M10" s="8" t="inlineStr">
        <is>
          <t>Not Run</t>
        </is>
      </c>
      <c r="N10" s="8" t="inlineStr"/>
      <c r="O10" s="19" t="inlineStr"/>
      <c r="P10" s="19" t="inlineStr"/>
      <c r="Q10" s="19" t="inlineStr"/>
    </row>
    <row r="11">
      <c r="A11" s="15" t="inlineStr">
        <is>
          <t>AP-009</t>
        </is>
      </c>
      <c r="B11" s="16" t="inlineStr">
        <is>
          <t>Payments</t>
        </is>
      </c>
      <c r="C11" s="16" t="inlineStr">
        <is>
          <t>Second payment fully settles bill → status PAID, outstanding 0</t>
        </is>
      </c>
      <c r="D11" s="17" t="inlineStr">
        <is>
          <t>Positive</t>
        </is>
      </c>
      <c r="E11" s="17" t="inlineStr">
        <is>
          <t>High</t>
        </is>
      </c>
      <c r="F11" s="16" t="inlineStr">
        <is>
          <t>A PARTIALLY_PAID bill with 600.00 outstanding. ORG_ADMIN.</t>
        </is>
      </c>
      <c r="G11" s="16" t="inlineStr">
        <is>
          <t>1. Pay the remaining 600.00 via single-pay form.</t>
        </is>
      </c>
      <c r="H11" s="16" t="inlineStr">
        <is>
          <t>Bill outstanding 600.00; payment 600.00.</t>
        </is>
      </c>
      <c r="I11" s="16" t="inlineStr">
        <is>
          <t>Bill → PAID, outstanding=0.00. A second ApPaymentDto (SINGLE) created — separate append-only payment, not an edit of the prior one.</t>
        </is>
      </c>
      <c r="J11" s="16" t="inlineStr">
        <is>
          <t>/admin/ap/payments</t>
        </is>
      </c>
      <c r="K11" s="16" t="inlineStr">
        <is>
          <t>AP.PAYMENT.RUN</t>
        </is>
      </c>
      <c r="L11" s="16" t="inlineStr"/>
      <c r="M11" s="17" t="inlineStr">
        <is>
          <t>Not Run</t>
        </is>
      </c>
      <c r="N11" s="17" t="inlineStr"/>
      <c r="O11" s="16" t="inlineStr"/>
      <c r="P11" s="16" t="inlineStr"/>
      <c r="Q11" s="16" t="inlineStr"/>
    </row>
    <row r="12">
      <c r="A12" s="18" t="inlineStr">
        <is>
          <t>AP-010</t>
        </is>
      </c>
      <c r="B12" s="19" t="inlineStr">
        <is>
          <t>Debit Notes</t>
        </is>
      </c>
      <c r="C12" s="19" t="inlineStr">
        <is>
          <t>Raise debit note against MATCHED bill — outstanding reduced, GL posted (DEF-AP-03 watch)</t>
        </is>
      </c>
      <c r="D12" s="8" t="inlineStr">
        <is>
          <t>Positive</t>
        </is>
      </c>
      <c r="E12" s="8" t="inlineStr">
        <is>
          <t>High</t>
        </is>
      </c>
      <c r="F12" s="19" t="inlineStr">
        <is>
          <t>A MATCHED bill outstanding 1000.00. ORG_ADMIN (AP.DEBITNOTE).</t>
        </is>
      </c>
      <c r="G12" s="19" t="inlineStr">
        <is>
          <t>1. On Payables list, click 'Debit Note' on a MATCHED row.
2. Enter Note Date, Net=200.00, VAT=0, Reason='Damaged goods returned'.
3. Submit.</t>
        </is>
      </c>
      <c r="H12" s="19" t="inlineStr">
        <is>
          <t>Net=200.00; reason='Damaged goods returned'.</t>
        </is>
      </c>
      <c r="I12" s="19" t="inlineStr">
        <is>
          <t>DESIRED: HTTP 201 ApDebitNoteDto (DN number, amount, reason). Bill outstanding → 800.00. GL: DR AP / CR Purchases. DEFECT DEF-AP-03: modal sends supplierUid=String(bill.supplierId) (numeric id). Backend uid-resolution fails → 400/404. Capture response; log if defect confirmed.</t>
        </is>
      </c>
      <c r="J12" s="19" t="inlineStr">
        <is>
          <t>/admin/ap/supplier-bills</t>
        </is>
      </c>
      <c r="K12" s="19" t="inlineStr">
        <is>
          <t>AP.DEBITNOTE</t>
        </is>
      </c>
      <c r="L12" s="19" t="inlineStr"/>
      <c r="M12" s="8" t="inlineStr">
        <is>
          <t>Not Run</t>
        </is>
      </c>
      <c r="N12" s="8" t="inlineStr"/>
      <c r="O12" s="19" t="inlineStr"/>
      <c r="P12" s="19" t="inlineStr"/>
      <c r="Q12" s="19" t="inlineStr"/>
    </row>
    <row r="13">
      <c r="A13" s="15" t="inlineStr">
        <is>
          <t>AP-011</t>
        </is>
      </c>
      <c r="B13" s="16" t="inlineStr">
        <is>
          <t>Debit Notes</t>
        </is>
      </c>
      <c r="C13" s="16" t="inlineStr">
        <is>
          <t>Debit note action hidden for DRAFT/HELD/PAID status and for roles lacking AP.DEBITNOTE</t>
        </is>
      </c>
      <c r="D13" s="17" t="inlineStr">
        <is>
          <t>Permission</t>
        </is>
      </c>
      <c r="E13" s="17" t="inlineStr">
        <is>
          <t>Medium</t>
        </is>
      </c>
      <c r="F13" s="16" t="inlineStr">
        <is>
          <t>Bills in DRAFT, HELD, PAID statuses. Custom AP.VIEW-only role.</t>
        </is>
      </c>
      <c r="G13" s="16" t="inlineStr">
        <is>
          <t>1. As ORG_ADMIN: confirm 'Debit Note' button only on MATCHED/APPROVED/PARTIALLY_PAID rows.
2. As AP.VIEW-only user: confirm no 'Debit Note' button on any row.</t>
        </is>
      </c>
      <c r="H13" s="16" t="inlineStr">
        <is>
          <t>Bills in all status states.</t>
        </is>
      </c>
      <c r="I13" s="16" t="inlineStr">
        <is>
          <t>Button visibility = canDebitNote() AND payable status. AP.VIEW-only → button absent on all rows.</t>
        </is>
      </c>
      <c r="J13" s="16" t="inlineStr">
        <is>
          <t>/admin/ap/supplier-bills</t>
        </is>
      </c>
      <c r="K13" s="16" t="inlineStr">
        <is>
          <t>AP.DEBITNOTE</t>
        </is>
      </c>
      <c r="L13" s="16" t="inlineStr"/>
      <c r="M13" s="17" t="inlineStr">
        <is>
          <t>Not Run</t>
        </is>
      </c>
      <c r="N13" s="17" t="inlineStr"/>
      <c r="O13" s="16" t="inlineStr"/>
      <c r="P13" s="16" t="inlineStr"/>
      <c r="Q13" s="16" t="inlineStr"/>
    </row>
    <row r="14">
      <c r="A14" s="18" t="inlineStr">
        <is>
          <t>AP-012</t>
        </is>
      </c>
      <c r="B14" s="19" t="inlineStr">
        <is>
          <t>Opening Balance</t>
        </is>
      </c>
      <c r="C14" s="19" t="inlineStr">
        <is>
          <t>Set AP opening balance for a supplier — source=OPENING_BALANCE, GL posted</t>
        </is>
      </c>
      <c r="D14" s="8" t="inlineStr">
        <is>
          <t>Positive</t>
        </is>
      </c>
      <c r="E14" s="8" t="inlineStr">
        <is>
          <t>High</t>
        </is>
      </c>
      <c r="F14" s="19" t="inlineStr">
        <is>
          <t>An ACTIVE supplier. ORG_ADMIN (AP.OPENING.SET). ACCOUNTS_PAYABLE and OPENING_BALANCE_EQUITY gl_configs mapped.</t>
        </is>
      </c>
      <c r="G14" s="19" t="inlineStr">
        <is>
          <t>1. Navigate to /admin/ap/opening-balance.
2. Pick supplier by name.
3. Enter gross=5000.00, billDate=2026-01-01, dueDate=2026-01-31, supplierInvoiceNo='OB-2025'.
4. Submit.</t>
        </is>
      </c>
      <c r="H14" s="19" t="inlineStr">
        <is>
          <t>Supplier 'Dar Wholesalers'; gross=5000.00.</t>
        </is>
      </c>
      <c r="I14" s="19" t="inlineStr">
        <is>
          <t>HTTP 201. SupplierBillDto source=OPENING_BALANCE, status reflects open payable. GL: DR Opening Balance Equity / CR AP posted. Bill appears in supplier's statement and Payables list.</t>
        </is>
      </c>
      <c r="J14" s="19" t="inlineStr">
        <is>
          <t>/admin/ap/opening-balance</t>
        </is>
      </c>
      <c r="K14" s="19" t="inlineStr">
        <is>
          <t>AP.OPENING.SET</t>
        </is>
      </c>
      <c r="L14" s="19" t="inlineStr"/>
      <c r="M14" s="8" t="inlineStr">
        <is>
          <t>Not Run</t>
        </is>
      </c>
      <c r="N14" s="8" t="inlineStr"/>
      <c r="O14" s="19" t="inlineStr"/>
      <c r="P14" s="19" t="inlineStr"/>
      <c r="Q14" s="19" t="inlineStr"/>
    </row>
    <row r="15">
      <c r="A15" s="15" t="inlineStr">
        <is>
          <t>AP-013</t>
        </is>
      </c>
      <c r="B15" s="16" t="inlineStr">
        <is>
          <t>Supplier Statement</t>
        </is>
      </c>
      <c r="C15" s="16" t="inlineStr">
        <is>
          <t>Supplier statement: balance, ageing, open bills, reconciliation all render</t>
        </is>
      </c>
      <c r="D15" s="17" t="inlineStr">
        <is>
          <t>Positive</t>
        </is>
      </c>
      <c r="E15" s="17" t="inlineStr">
        <is>
          <t>High</t>
        </is>
      </c>
      <c r="F15" s="16" t="inlineStr">
        <is>
          <t>Supplier with outstanding across multiple ageing buckets. ORG_ADMIN (AP.VIEW).</t>
        </is>
      </c>
      <c r="G15" s="16" t="inlineStr">
        <is>
          <t>1. Navigate to /admin/ap/statement.
2. Pick supplier by name.
3. Read outstanding balance, ageing rows, open-bills list, reconciliation panel.</t>
        </is>
      </c>
      <c r="H15" s="16" t="inlineStr">
        <is>
          <t>Supplier 'Dar Wholesalers' with CURRENT and D1_30 bills.</t>
        </is>
      </c>
      <c r="I15" s="16" t="inlineStr">
        <is>
          <t>Balance = sum of outstanding. Ageing rows show bucket + amount + currency. Open bills exclude PAID. Reconciliation shows sub-ledger total, GL control balance, difference. Reconciliation failure does NOT block balance/ageing/bills.</t>
        </is>
      </c>
      <c r="J15" s="16" t="inlineStr">
        <is>
          <t>/admin/ap/statement</t>
        </is>
      </c>
      <c r="K15" s="16" t="inlineStr">
        <is>
          <t>AP.VIEW</t>
        </is>
      </c>
      <c r="L15" s="16" t="inlineStr"/>
      <c r="M15" s="17" t="inlineStr">
        <is>
          <t>Not Run</t>
        </is>
      </c>
      <c r="N15" s="17" t="inlineStr"/>
      <c r="O15" s="16" t="inlineStr"/>
      <c r="P15" s="16" t="inlineStr"/>
      <c r="Q15" s="16" t="inlineStr"/>
    </row>
    <row r="16">
      <c r="A16" s="18" t="inlineStr">
        <is>
          <t>AP-014</t>
        </is>
      </c>
      <c r="B16" s="19" t="inlineStr">
        <is>
          <t>Supplier Statement</t>
        </is>
      </c>
      <c r="C16" s="19" t="inlineStr">
        <is>
          <t>AP ageing buckets beyond CURRENT mislabelled — DEF-AP-01</t>
        </is>
      </c>
      <c r="D16" s="8" t="inlineStr">
        <is>
          <t>Negative</t>
        </is>
      </c>
      <c r="E16" s="8" t="inlineStr">
        <is>
          <t>High</t>
        </is>
      </c>
      <c r="F16" s="19" t="inlineStr">
        <is>
          <t>Supplier with bills aged into D1_30, D31_60, D61_90, D90_PLUS. ORG_ADMIN.</t>
        </is>
      </c>
      <c r="G16" s="19" t="inlineStr">
        <is>
          <t>1. Open supplier statement.
2. Inspect the ageing rows — note rendered labels and sort order.</t>
        </is>
      </c>
      <c r="H16" s="19" t="inlineStr">
        <is>
          <t>Bills with due dates spanning all buckets, asAt=today.</t>
        </is>
      </c>
      <c r="I16" s="19" t="inlineStr">
        <is>
          <t>DESIRED: rows labelled Current / 1-30 / 31-60 / 61-90 / 90+ in order. DEFECT DEF-AP-01: backend emits D1_30/D31_60/D61_90/D90_PLUS; screen BUCKET_LABEL/BUCKET_ORDER keys are DAYS_1_30/DAYS_91_PLUS — non-CURRENT buckets render raw enum and sort incorrectly. Log confirmed mismatch.</t>
        </is>
      </c>
      <c r="J16" s="19" t="inlineStr">
        <is>
          <t>/admin/ap/statement</t>
        </is>
      </c>
      <c r="K16" s="19" t="inlineStr">
        <is>
          <t>AP.VIEW</t>
        </is>
      </c>
      <c r="L16" s="19" t="inlineStr"/>
      <c r="M16" s="8" t="inlineStr">
        <is>
          <t>Not Run</t>
        </is>
      </c>
      <c r="N16" s="8" t="inlineStr"/>
      <c r="O16" s="19" t="inlineStr"/>
      <c r="P16" s="19" t="inlineStr"/>
      <c r="Q16" s="19" t="inlineStr"/>
    </row>
    <row r="17">
      <c r="A17" s="15" t="inlineStr">
        <is>
          <t>AP-015</t>
        </is>
      </c>
      <c r="B17" s="16" t="inlineStr">
        <is>
          <t>Supplier Statement</t>
        </is>
      </c>
      <c r="C17" s="16" t="inlineStr">
        <is>
          <t>AP reconciliation: sub-ledger total == GL control balance (difference=0.00)</t>
        </is>
      </c>
      <c r="D17" s="17" t="inlineStr">
        <is>
          <t>Positive</t>
        </is>
      </c>
      <c r="E17" s="17" t="inlineStr">
        <is>
          <t>High</t>
        </is>
      </c>
      <c r="F17" s="16" t="inlineStr">
        <is>
          <t>A full AP cycle completed: enter→match→pay→debit-note for one company. ORG_ADMIN.</t>
        </is>
      </c>
      <c r="G17" s="16" t="inlineStr">
        <is>
          <t>1. Open supplier statement for any supplier in the company.
2. Read sub-ledger total, GL control balance, difference.</t>
        </is>
      </c>
      <c r="H17" s="16" t="inlineStr">
        <is>
          <t>Company 'Acme TZ Ltd' after a full P2P cycle.</t>
        </is>
      </c>
      <c r="I17" s="16" t="inlineStr">
        <is>
          <t>difference = subLedgerTotal − glControlBalance = 0.00. A non-zero difference is a finance-grade defect (BR-AP-02). Log if non-zero.</t>
        </is>
      </c>
      <c r="J17" s="16" t="inlineStr">
        <is>
          <t>/admin/ap/statement</t>
        </is>
      </c>
      <c r="K17" s="16" t="inlineStr">
        <is>
          <t>AP.VIEW</t>
        </is>
      </c>
      <c r="L17" s="16" t="inlineStr"/>
      <c r="M17" s="17" t="inlineStr">
        <is>
          <t>Not Run</t>
        </is>
      </c>
      <c r="N17" s="17" t="inlineStr"/>
      <c r="O17" s="16" t="inlineStr"/>
      <c r="P17" s="16" t="inlineStr"/>
      <c r="Q17" s="16" t="inlineStr"/>
    </row>
    <row r="18">
      <c r="A18" s="18" t="inlineStr">
        <is>
          <t>AP-016</t>
        </is>
      </c>
      <c r="B18" s="19" t="inlineStr">
        <is>
          <t>RBAC</t>
        </is>
      </c>
      <c r="C18" s="19" t="inlineStr">
        <is>
          <t>ACCOUNTANT and PURCHASE_OFFICER are NOT granted AP perms by seed (V12 ground truth)</t>
        </is>
      </c>
      <c r="D18" s="8" t="inlineStr">
        <is>
          <t>Permission</t>
        </is>
      </c>
      <c r="E18" s="8" t="inlineStr">
        <is>
          <t>Medium</t>
        </is>
      </c>
      <c r="F18" s="19" t="inlineStr">
        <is>
          <t>Seeded ACCOUNTANT and PURCHASE_OFFICER users.</t>
        </is>
      </c>
      <c r="G18" s="19" t="inlineStr">
        <is>
          <t>1. Log in as ACCOUNTANT. Assert AP nav absent; AP routes forbidden; AP write APIs 403.
2. Repeat as PURCHASE_OFFICER.</t>
        </is>
      </c>
      <c r="H18" s="19" t="inlineStr">
        <is>
          <t>Standard seeded roles.</t>
        </is>
      </c>
      <c r="I18" s="19" t="inlineStr">
        <is>
          <t>Both roles denied AP access (only ORG_ADMIN seeded with AP.* per V12). Confirms code-based RBAC — granting AP.VIEW to a CUSTOM role grants access regardless of role name.</t>
        </is>
      </c>
      <c r="J18" s="19" t="inlineStr">
        <is>
          <t>/admin/ap/supplier-bills</t>
        </is>
      </c>
      <c r="K18" s="19" t="inlineStr">
        <is>
          <t>AP.VIEW (not granted to ACCOUNTANT/PURCHASE_OFFICER)</t>
        </is>
      </c>
      <c r="L18" s="19" t="inlineStr"/>
      <c r="M18" s="8" t="inlineStr">
        <is>
          <t>Not Run</t>
        </is>
      </c>
      <c r="N18" s="8" t="inlineStr"/>
      <c r="O18" s="19" t="inlineStr"/>
      <c r="P18" s="19" t="inlineStr"/>
      <c r="Q18" s="19" t="inlineStr"/>
    </row>
    <row r="19">
      <c r="A19" s="15" t="inlineStr">
        <is>
          <t>AP-017</t>
        </is>
      </c>
      <c r="B19" s="16" t="inlineStr">
        <is>
          <t>RBAC</t>
        </is>
      </c>
      <c r="C19" s="16" t="inlineStr">
        <is>
          <t>AP.VIEW-only custom role — reads all AP screens, all write actions hidden and API 403</t>
        </is>
      </c>
      <c r="D19" s="17" t="inlineStr">
        <is>
          <t>Permission</t>
        </is>
      </c>
      <c r="E19" s="17" t="inlineStr">
        <is>
          <t>High</t>
        </is>
      </c>
      <c r="F19" s="16" t="inlineStr">
        <is>
          <t>Custom role granted only AP.VIEW.</t>
        </is>
      </c>
      <c r="G19" s="16" t="inlineStr">
        <is>
          <t>1. Log in as AP.VIEW-only user.
2. Nav shows Payables, Payments, Supplier Statement; hides Enter Bill, Record Payment, AP Opening Balance.
3. Directly navigate to /admin/ap/supplier-bills/enter, /admin/ap/payments/record, /admin/ap/opening-balance.
4. POST to /supplier-bills, /payments/single, /debit-notes, /opening-balance directly.</t>
        </is>
      </c>
      <c r="H19" s="16" t="inlineStr">
        <is>
          <t>AP.VIEW only custom role.</t>
        </is>
      </c>
      <c r="I19" s="16" t="inlineStr">
        <is>
          <t>Full read access. Every direct route blocked by requirePermission guard. Every write API returns 403.</t>
        </is>
      </c>
      <c r="J19" s="16" t="inlineStr">
        <is>
          <t>/admin/ap/supplier-bills</t>
        </is>
      </c>
      <c r="K19" s="16" t="inlineStr">
        <is>
          <t>AP.VIEW (denied for writes)</t>
        </is>
      </c>
      <c r="L19" s="16" t="inlineStr"/>
      <c r="M19" s="17" t="inlineStr">
        <is>
          <t>Not Run</t>
        </is>
      </c>
      <c r="N19" s="17" t="inlineStr"/>
      <c r="O19" s="16" t="inlineStr"/>
      <c r="P19" s="16" t="inlineStr"/>
      <c r="Q19" s="16" t="inlineStr"/>
    </row>
    <row r="20">
      <c r="A20" s="18" t="inlineStr">
        <is>
          <t>AP-018</t>
        </is>
      </c>
      <c r="B20" s="19" t="inlineStr">
        <is>
          <t>Multi-Tenancy</t>
        </is>
      </c>
      <c r="C20" s="19" t="inlineStr">
        <is>
          <t>Tenant A cannot see Tenant B's bills, payments, statement</t>
        </is>
      </c>
      <c r="D20" s="8" t="inlineStr">
        <is>
          <t>Negative</t>
        </is>
      </c>
      <c r="E20" s="8" t="inlineStr">
        <is>
          <t>High</t>
        </is>
      </c>
      <c r="F20" s="19" t="inlineStr">
        <is>
          <t>Two companies A and B with AP data. Logged in as Tenant A's ORG_ADMIN.</t>
        </is>
      </c>
      <c r="G20" s="19" t="inlineStr">
        <is>
          <t>1. List Payables / Payments scoped to A.
2. Open /admin/ap/supplier-bills/uid/{B-bill-uid}.
3. Open /admin/ap/payments/uid/{B-payment-uid}.</t>
        </is>
      </c>
      <c r="H20" s="19" t="inlineStr">
        <is>
          <t>Tenant B bill uid; Tenant B payment uid.</t>
        </is>
      </c>
      <c r="I20" s="19" t="inlineStr">
        <is>
          <t>Lists show only A's records. B's uids return 403/404 via @perm.scoped + company scoping. No B data leaks.</t>
        </is>
      </c>
      <c r="J20" s="19" t="inlineStr">
        <is>
          <t>/admin/ap/supplier-bills</t>
        </is>
      </c>
      <c r="K20" s="19" t="inlineStr">
        <is>
          <t>AP.VIEW</t>
        </is>
      </c>
      <c r="L20" s="19" t="inlineStr"/>
      <c r="M20" s="8" t="inlineStr">
        <is>
          <t>Not Run</t>
        </is>
      </c>
      <c r="N20" s="8" t="inlineStr"/>
      <c r="O20" s="19" t="inlineStr"/>
      <c r="P20" s="19" t="inlineStr"/>
      <c r="Q20" s="19" t="inlineStr"/>
    </row>
    <row r="21">
      <c r="A21" s="15" t="inlineStr">
        <is>
          <t>AP-019</t>
        </is>
      </c>
      <c r="B21" s="16" t="inlineStr">
        <is>
          <t>Accessibility</t>
        </is>
      </c>
      <c r="C21" s="16" t="inlineStr">
        <is>
          <t>Axe accessibility sweep on all AP screens including debit-note modal</t>
        </is>
      </c>
      <c r="D21" s="17" t="inlineStr">
        <is>
          <t>Positive</t>
        </is>
      </c>
      <c r="E21" s="17" t="inlineStr">
        <is>
          <t>Medium</t>
        </is>
      </c>
      <c r="F21" s="16" t="inlineStr">
        <is>
          <t>ORG_ADMIN logged in. All AP screens seeded with data.</t>
        </is>
      </c>
      <c r="G21" s="16" t="inlineStr">
        <is>
          <t>1. Run axe on: /admin/ap/supplier-bills, /ap/supplier-bills/enter, /ap/supplier-bills/uid/:uid, /ap/payments/record, /ap/payments, /ap/payments/uid/:uid, /ap/statement, /ap/opening-balance.
2. Open the debit-note modal; run axe.</t>
        </is>
      </c>
      <c r="H21" s="16" t="inlineStr">
        <is>
          <t>All AP screens loaded with data.</t>
        </is>
      </c>
      <c r="I21" s="16" t="inlineStr">
        <is>
          <t>Zero critical/serious axe violations. Debit-note modal: aria-modal, labelled title, focus management. Tables: captions + scope. Typeaheads: role=listbox/option, keyboard-operable (Enter selects).</t>
        </is>
      </c>
      <c r="J21" s="16" t="inlineStr">
        <is>
          <t>/admin/ap/supplier-bills</t>
        </is>
      </c>
      <c r="K21" s="16" t="inlineStr">
        <is>
          <t>AP.VIEW + AP.BILL.ENTER + AP.PAYMENT.RUN + AP.DEBITNOTE</t>
        </is>
      </c>
      <c r="L21" s="16" t="inlineStr"/>
      <c r="M21" s="17" t="inlineStr">
        <is>
          <t>Not Run</t>
        </is>
      </c>
      <c r="N21" s="17" t="inlineStr"/>
      <c r="O21" s="16" t="inlineStr"/>
      <c r="P21" s="16" t="inlineStr"/>
      <c r="Q21" s="16" t="inlineStr"/>
    </row>
    <row r="22">
      <c r="A22" s="18" t="inlineStr">
        <is>
          <t>AP-020</t>
        </is>
      </c>
      <c r="B22" s="19" t="inlineStr">
        <is>
          <t>Bill Filters</t>
        </is>
      </c>
      <c r="C22" s="19" t="inlineStr">
        <is>
          <t>Supplier/status filter params FE/BE mismatch — DEF-AP-05 (defect hunt)</t>
        </is>
      </c>
      <c r="D22" s="8" t="inlineStr">
        <is>
          <t>Negative</t>
        </is>
      </c>
      <c r="E22" s="8" t="inlineStr">
        <is>
          <t>High</t>
        </is>
      </c>
      <c r="F22" s="19" t="inlineStr">
        <is>
          <t>Two suppliers each with bills in different statuses. ORG_ADMIN.</t>
        </is>
      </c>
      <c r="G22" s="19" t="inlineStr">
        <is>
          <t>1. Apply supplier filter via typeahead; select by name.
2. Apply status filter = MATCHED.
3. Observe the network request params.
4. Check whether the list truly narrows server-side.</t>
        </is>
      </c>
      <c r="H22" s="19" t="inlineStr">
        <is>
          <t>Supplier A with MATCHED bills; Supplier B with DRAFT bills.</t>
        </is>
      </c>
      <c r="I22" s="19" t="inlineStr">
        <is>
          <t>DESIRED: only MATCHED bills for supplier A. DEFECT DEF-AP-05: FE sends supplierUid and status; backend list endpoint only honours supplierId (Long) and has no status param. Server ignores the filter — list returns all company rows. Assert whether rows truly narrow; log mismatch if not.</t>
        </is>
      </c>
      <c r="J22" s="19" t="inlineStr">
        <is>
          <t>/admin/ap/supplier-bills</t>
        </is>
      </c>
      <c r="K22" s="19" t="inlineStr">
        <is>
          <t>AP.VIEW</t>
        </is>
      </c>
      <c r="L22" s="19" t="inlineStr"/>
      <c r="M22" s="8" t="inlineStr">
        <is>
          <t>Not Run</t>
        </is>
      </c>
      <c r="N22" s="8" t="inlineStr"/>
      <c r="O22" s="19" t="inlineStr"/>
      <c r="P22" s="19" t="inlineStr"/>
      <c r="Q22" s="19" t="inlineStr"/>
    </row>
  </sheetData>
  <autoFilter ref="A2:Q22"/>
  <mergeCells count="1">
    <mergeCell ref="A1:Q1"/>
  </mergeCells>
  <dataValidations count="4">
    <dataValidation sqref="D3:D22" showDropDown="0" showInputMessage="0" showErrorMessage="0" allowBlank="1" type="list">
      <formula1>"Positive,Negative,Permission,Edge"</formula1>
    </dataValidation>
    <dataValidation sqref="E3:E22" showDropDown="0" showInputMessage="0" showErrorMessage="0" allowBlank="1" type="list">
      <formula1>"High,Medium,Low"</formula1>
    </dataValidation>
    <dataValidation sqref="M3:M22" showDropDown="0" showInputMessage="0" showErrorMessage="0" allowBlank="1" type="list">
      <formula1>"Not Run,Pass,Fail,Blocked,N/A"</formula1>
    </dataValidation>
    <dataValidation sqref="N3:N22" showDropDown="0" showInputMessage="0" showErrorMessage="0" allowBlank="1" type="list">
      <formula1>"-,Critical,High,Medium,Low"</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29"/>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Cash &amp; Bank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CB-001</t>
        </is>
      </c>
      <c r="B3" s="16" t="inlineStr">
        <is>
          <t>Accounts</t>
        </is>
      </c>
      <c r="C3" s="16" t="inlineStr">
        <is>
          <t>Cash/bank accounts list renders for CASH.VIEW holder; forbidden for no-permission user</t>
        </is>
      </c>
      <c r="D3" s="17" t="inlineStr">
        <is>
          <t>Positive</t>
        </is>
      </c>
      <c r="E3" s="17" t="inlineStr">
        <is>
          <t>High</t>
        </is>
      </c>
      <c r="F3" s="16" t="inlineStr">
        <is>
          <t>Company with at least 1 CASH and 1 BANK account. Logged in as ORG_ADMIN (CASH.VIEW). NOTE: only ORG_ADMIN seeded with CASH.* per V13.</t>
        </is>
      </c>
      <c r="G3" s="16" t="inlineStr">
        <is>
          <t>1. Navigate to /admin/cash/accounts.
2. Confirm table: Code, Name, Type, Bank, GL Account, Currency, Default, Active.
3. Type column shows CASH/BANK badges.
4. As NO-PERMISSION user: nav hidden, direct route blocked.</t>
        </is>
      </c>
      <c r="H3" s="16" t="inlineStr">
        <is>
          <t>Seeded 'Main Cash Drawer' (CASH) + 'CRDB Operating' (BANK).</t>
        </is>
      </c>
      <c r="I3" s="16" t="inlineStr">
        <is>
          <t>Table renders. ApiResponse&lt;CashBankAccountDto[]&gt;. No uid anywhere in the table or DOM. axe-clean. NO-PERMISSION: forbidden alert, API 403.</t>
        </is>
      </c>
      <c r="J3" s="16" t="inlineStr">
        <is>
          <t>/admin/cash/accounts</t>
        </is>
      </c>
      <c r="K3" s="16" t="inlineStr">
        <is>
          <t>CASH.VIEW</t>
        </is>
      </c>
      <c r="L3" s="16" t="inlineStr"/>
      <c r="M3" s="17" t="inlineStr">
        <is>
          <t>Not Run</t>
        </is>
      </c>
      <c r="N3" s="17" t="inlineStr"/>
      <c r="O3" s="16" t="inlineStr"/>
      <c r="P3" s="16" t="inlineStr"/>
      <c r="Q3" s="16" t="inlineStr"/>
    </row>
    <row r="4">
      <c r="A4" s="18" t="inlineStr">
        <is>
          <t>CB-002</t>
        </is>
      </c>
      <c r="B4" s="19" t="inlineStr">
        <is>
          <t>Accounts</t>
        </is>
      </c>
      <c r="C4" s="19" t="inlineStr">
        <is>
          <t>Create CASH account — GL ASSET link required, code auto-generated</t>
        </is>
      </c>
      <c r="D4" s="8" t="inlineStr">
        <is>
          <t>Positive</t>
        </is>
      </c>
      <c r="E4" s="8" t="inlineStr">
        <is>
          <t>High</t>
        </is>
      </c>
      <c r="F4" s="19" t="inlineStr">
        <is>
          <t>At least 1 ASSET GL account. ORG_ADMIN (CASH.ACCOUNT.MANAGE).</t>
        </is>
      </c>
      <c r="G4" s="19" t="inlineStr">
        <is>
          <t>1. Click 'New Account'.
2. Name='Petty Cash Box', Type=CASH.
3. GL Asset Account: pick an ASSET account by 'code - name' label.
4. Click 'Save Account'.</t>
        </is>
      </c>
      <c r="H4" s="19" t="inlineStr">
        <is>
          <t>name='Petty Cash Box'; type=CASH; GL='1000 - Cash on Hand'.</t>
        </is>
      </c>
      <c r="I4" s="19" t="inlineStr">
        <is>
          <t>HTTP 201. Toast 'Account created · Petty Cash Box'. List shows new row with auto-generated Code, currency=TZS base, Active. For CASH type: bank name/no/branch fields NOT rendered.</t>
        </is>
      </c>
      <c r="J4" s="19" t="inlineStr">
        <is>
          <t>/admin/cash/accounts</t>
        </is>
      </c>
      <c r="K4" s="19" t="inlineStr">
        <is>
          <t>CASH.ACCOUNT.MANAGE</t>
        </is>
      </c>
      <c r="L4" s="19" t="inlineStr"/>
      <c r="M4" s="8" t="inlineStr">
        <is>
          <t>Not Run</t>
        </is>
      </c>
      <c r="N4" s="8" t="inlineStr"/>
      <c r="O4" s="19" t="inlineStr"/>
      <c r="P4" s="19" t="inlineStr"/>
      <c r="Q4" s="19" t="inlineStr"/>
    </row>
    <row r="5">
      <c r="A5" s="15" t="inlineStr">
        <is>
          <t>CB-003</t>
        </is>
      </c>
      <c r="B5" s="16" t="inlineStr">
        <is>
          <t>Accounts</t>
        </is>
      </c>
      <c r="C5" s="16" t="inlineStr">
        <is>
          <t>Create BANK account — bank name required; BANK-only fields appear</t>
        </is>
      </c>
      <c r="D5" s="17" t="inlineStr">
        <is>
          <t>Positive</t>
        </is>
      </c>
      <c r="E5" s="17" t="inlineStr">
        <is>
          <t>High</t>
        </is>
      </c>
      <c r="F5" s="16" t="inlineStr">
        <is>
          <t>At least 1 ASSET GL account. ORG_ADMIN (CASH.ACCOUNT.MANAGE).</t>
        </is>
      </c>
      <c r="G5" s="16" t="inlineStr">
        <is>
          <t>1. New Account; Type=BANK → bank fields appear.
2. Leave Bank Name blank; Save → expect inline error.
3. Fill: name='CRDB Operating', bankName='CRDB Bank', bankAccountNo='0150xxx', bankBranch='Kariakoo'; Save.</t>
        </is>
      </c>
      <c r="H5" s="16" t="inlineStr">
        <is>
          <t>name='CRDB Operating'; type=BANK; bankName='CRDB Bank'.</t>
        </is>
      </c>
      <c r="I5" s="16" t="inlineStr">
        <is>
          <t>Step 2: inline error 'Bank name is required for a BANK account.' no API call. Step 3: HTTP 201. Row shows Bank column with bank name.</t>
        </is>
      </c>
      <c r="J5" s="16" t="inlineStr">
        <is>
          <t>/admin/cash/accounts</t>
        </is>
      </c>
      <c r="K5" s="16" t="inlineStr">
        <is>
          <t>CASH.ACCOUNT.MANAGE</t>
        </is>
      </c>
      <c r="L5" s="16" t="inlineStr"/>
      <c r="M5" s="17" t="inlineStr">
        <is>
          <t>Not Run</t>
        </is>
      </c>
      <c r="N5" s="17" t="inlineStr"/>
      <c r="O5" s="16" t="inlineStr"/>
      <c r="P5" s="16" t="inlineStr"/>
      <c r="Q5" s="16" t="inlineStr"/>
    </row>
    <row r="6">
      <c r="A6" s="18" t="inlineStr">
        <is>
          <t>CB-004</t>
        </is>
      </c>
      <c r="B6" s="19" t="inlineStr">
        <is>
          <t>Accounts</t>
        </is>
      </c>
      <c r="C6" s="19" t="inlineStr">
        <is>
          <t>Set-default action reassigns the Default badge (single default per company)</t>
        </is>
      </c>
      <c r="D6" s="8" t="inlineStr">
        <is>
          <t>Positive</t>
        </is>
      </c>
      <c r="E6" s="8" t="inlineStr">
        <is>
          <t>High</t>
        </is>
      </c>
      <c r="F6" s="19" t="inlineStr">
        <is>
          <t>At least 2 accounts, one default. ORG_ADMIN (CASH.ACCOUNT.MANAGE).</t>
        </is>
      </c>
      <c r="G6" s="19" t="inlineStr">
        <is>
          <t>1. Click 'Set default' on a non-default row.
2. Confirm spinner, toast, list reload.
3. Count Default badges.</t>
        </is>
      </c>
      <c r="H6" s="19" t="inlineStr">
        <is>
          <t>Company with 2+ accounts.</t>
        </is>
      </c>
      <c r="I6" s="19" t="inlineStr">
        <is>
          <t>Toast 'Default account set · &lt;name&gt;'. Default badge moves to the new account. Exactly one Default badge in the list. 'Set default' button absent on the already-default row.</t>
        </is>
      </c>
      <c r="J6" s="19" t="inlineStr">
        <is>
          <t>/admin/cash/accounts</t>
        </is>
      </c>
      <c r="K6" s="19" t="inlineStr">
        <is>
          <t>CASH.ACCOUNT.MANAGE</t>
        </is>
      </c>
      <c r="L6" s="19" t="inlineStr"/>
      <c r="M6" s="8" t="inlineStr">
        <is>
          <t>Not Run</t>
        </is>
      </c>
      <c r="N6" s="8" t="inlineStr"/>
      <c r="O6" s="19" t="inlineStr"/>
      <c r="P6" s="19" t="inlineStr"/>
      <c r="Q6" s="19" t="inlineStr"/>
    </row>
    <row r="7">
      <c r="A7" s="15" t="inlineStr">
        <is>
          <t>CB-005</t>
        </is>
      </c>
      <c r="B7" s="16" t="inlineStr">
        <is>
          <t>Accounts</t>
        </is>
      </c>
      <c r="C7" s="16" t="inlineStr">
        <is>
          <t>CASH.VIEW-only user cannot create or set-default — button hidden, API 403</t>
        </is>
      </c>
      <c r="D7" s="17" t="inlineStr">
        <is>
          <t>Permission</t>
        </is>
      </c>
      <c r="E7" s="17" t="inlineStr">
        <is>
          <t>High</t>
        </is>
      </c>
      <c r="F7" s="16" t="inlineStr">
        <is>
          <t>Custom role with CASH.VIEW only.</t>
        </is>
      </c>
      <c r="G7" s="16" t="inlineStr">
        <is>
          <t>1. Log in as CASH.VIEW-only user; open /admin/cash/accounts.
2. Confirm 'New Account' and 'Set default' buttons absent.
3. POST to /api/v1/cash/accounts directly.</t>
        </is>
      </c>
      <c r="H7" s="16" t="inlineStr">
        <is>
          <t>CASH.VIEW only custom role.</t>
        </is>
      </c>
      <c r="I7" s="16" t="inlineStr">
        <is>
          <t>List renders. Write buttons absent. Direct POST returns 403.</t>
        </is>
      </c>
      <c r="J7" s="16" t="inlineStr">
        <is>
          <t>/admin/cash/accounts</t>
        </is>
      </c>
      <c r="K7" s="16" t="inlineStr">
        <is>
          <t>CASH.VIEW (denied for CASH.ACCOUNT.MANAGE action)</t>
        </is>
      </c>
      <c r="L7" s="16" t="inlineStr"/>
      <c r="M7" s="17" t="inlineStr">
        <is>
          <t>Not Run</t>
        </is>
      </c>
      <c r="N7" s="17" t="inlineStr"/>
      <c r="O7" s="16" t="inlineStr"/>
      <c r="P7" s="16" t="inlineStr"/>
      <c r="Q7" s="16" t="inlineStr"/>
    </row>
    <row r="8">
      <c r="A8" s="18" t="inlineStr">
        <is>
          <t>CB-006</t>
        </is>
      </c>
      <c r="B8" s="19" t="inlineStr">
        <is>
          <t>Transfers</t>
        </is>
      </c>
      <c r="C8" s="19" t="inlineStr">
        <is>
          <t>Record transfer between two accounts — two cash_transactions + balanced GL posted</t>
        </is>
      </c>
      <c r="D8" s="8" t="inlineStr">
        <is>
          <t>Positive</t>
        </is>
      </c>
      <c r="E8" s="8" t="inlineStr">
        <is>
          <t>High</t>
        </is>
      </c>
      <c r="F8" s="19" t="inlineStr">
        <is>
          <t>Two active accounts. ORG_ADMIN (CASH.TRANSFER).</t>
        </is>
      </c>
      <c r="G8" s="19" t="inlineStr">
        <is>
          <t>1. Navigate to /admin/cash/transfers/record.
2. Source='Petty Cash' (code-name picker); Destination='CRDB Operating'.
3. Source balance loads beside the picker.
4. Amount=50000, date=today, reference='Float top-up'.
5. Submit.</t>
        </is>
      </c>
      <c r="H8" s="19" t="inlineStr">
        <is>
          <t>amount=50000; reference='Float top-up'.</t>
        </is>
      </c>
      <c r="I8" s="19" t="inlineStr">
        <is>
          <t>HTTP 201. Toast 'Transfer recorded · CBT-####'. Backend: TRANSFER_OUT cash_transaction on source, TRANSFER_IN on destination, one balanced GL entry atomically. Balances refresh.</t>
        </is>
      </c>
      <c r="J8" s="19" t="inlineStr">
        <is>
          <t>/admin/cash/transfers/record</t>
        </is>
      </c>
      <c r="K8" s="19" t="inlineStr">
        <is>
          <t>CASH.TRANSFER</t>
        </is>
      </c>
      <c r="L8" s="19" t="inlineStr"/>
      <c r="M8" s="8" t="inlineStr">
        <is>
          <t>Not Run</t>
        </is>
      </c>
      <c r="N8" s="8" t="inlineStr"/>
      <c r="O8" s="19" t="inlineStr"/>
      <c r="P8" s="19" t="inlineStr"/>
      <c r="Q8" s="19" t="inlineStr"/>
    </row>
    <row r="9">
      <c r="A9" s="15" t="inlineStr">
        <is>
          <t>CB-007</t>
        </is>
      </c>
      <c r="B9" s="16" t="inlineStr">
        <is>
          <t>Transfers</t>
        </is>
      </c>
      <c r="C9" s="16" t="inlineStr">
        <is>
          <t>Transfer rejected when source equals destination</t>
        </is>
      </c>
      <c r="D9" s="17" t="inlineStr">
        <is>
          <t>Negative</t>
        </is>
      </c>
      <c r="E9" s="17" t="inlineStr">
        <is>
          <t>High</t>
        </is>
      </c>
      <c r="F9" s="16" t="inlineStr">
        <is>
          <t>At least one account. ORG_ADMIN (CASH.TRANSFER).</t>
        </is>
      </c>
      <c r="G9" s="16" t="inlineStr">
        <is>
          <t>1. Select the same account for both source and destination.
2. Enter amount; attempt submit.
3. API-POST with equal source/dest uids.</t>
        </is>
      </c>
      <c r="H9" s="16" t="inlineStr">
        <is>
          <t>sourceAccountUid == destinationAccountUid.</t>
        </is>
      </c>
      <c r="I9" s="16" t="inlineStr">
        <is>
          <t>UI: submit disabled (sameAccountError). Inline error 'Source and destination accounts must differ.' No POST. API-level: 4xx with errors[].</t>
        </is>
      </c>
      <c r="J9" s="16" t="inlineStr">
        <is>
          <t>/admin/cash/transfers/record</t>
        </is>
      </c>
      <c r="K9" s="16" t="inlineStr">
        <is>
          <t>CASH.TRANSFER</t>
        </is>
      </c>
      <c r="L9" s="16" t="inlineStr"/>
      <c r="M9" s="17" t="inlineStr">
        <is>
          <t>Not Run</t>
        </is>
      </c>
      <c r="N9" s="17" t="inlineStr"/>
      <c r="O9" s="16" t="inlineStr"/>
      <c r="P9" s="16" t="inlineStr"/>
      <c r="Q9" s="16" t="inlineStr"/>
    </row>
    <row r="10">
      <c r="A10" s="18" t="inlineStr">
        <is>
          <t>CB-008</t>
        </is>
      </c>
      <c r="B10" s="19" t="inlineStr">
        <is>
          <t>Transfers</t>
        </is>
      </c>
      <c r="C10" s="19" t="inlineStr">
        <is>
          <t>Transfers list shows raw account uids — C1 violation (defect to file)</t>
        </is>
      </c>
      <c r="D10" s="8" t="inlineStr">
        <is>
          <t>Negative</t>
        </is>
      </c>
      <c r="E10" s="8" t="inlineStr">
        <is>
          <t>High</t>
        </is>
      </c>
      <c r="F10" s="19" t="inlineStr">
        <is>
          <t>At least one recorded transfer. ORG_ADMIN (CASH.VIEW).</t>
        </is>
      </c>
      <c r="G10" s="19" t="inlineStr">
        <is>
          <t>1. Navigate to /admin/cash/transfers.
2. Inspect the From Account and To Account columns for any row.
3. Inspect the same fields on the transfer detail page.</t>
        </is>
      </c>
      <c r="H10" s="19" t="inlineStr">
        <is>
          <t>Transfer recorded in CB-006.</t>
        </is>
      </c>
      <c r="I10" s="19" t="inlineStr">
        <is>
          <t>DEFECT: From/To Account cells render raw sourceAccountUid/destinationAccountUid ({{ row.sourceAccountUid }}) — C1 violation. CashTransferDto carries no account names so the UI cannot resolve them. Assert a raw uid string is visible; file as a defect. Same violation on the detail screen.</t>
        </is>
      </c>
      <c r="J10" s="19" t="inlineStr">
        <is>
          <t>/admin/cash/transfers</t>
        </is>
      </c>
      <c r="K10" s="19" t="inlineStr">
        <is>
          <t>CASH.VIEW</t>
        </is>
      </c>
      <c r="L10" s="19" t="inlineStr"/>
      <c r="M10" s="8" t="inlineStr">
        <is>
          <t>Not Run</t>
        </is>
      </c>
      <c r="N10" s="8" t="inlineStr"/>
      <c r="O10" s="19" t="inlineStr"/>
      <c r="P10" s="19" t="inlineStr"/>
      <c r="Q10" s="19" t="inlineStr"/>
    </row>
    <row r="11">
      <c r="A11" s="15" t="inlineStr">
        <is>
          <t>CB-009</t>
        </is>
      </c>
      <c r="B11" s="16" t="inlineStr">
        <is>
          <t>Direct Entries</t>
        </is>
      </c>
      <c r="C11" s="16" t="inlineStr">
        <is>
          <t>Record direct IN entry (bank interest) — cash_transaction + balanced GL posted</t>
        </is>
      </c>
      <c r="D11" s="17" t="inlineStr">
        <is>
          <t>Positive</t>
        </is>
      </c>
      <c r="E11" s="17" t="inlineStr">
        <is>
          <t>High</t>
        </is>
      </c>
      <c r="F11" s="16" t="inlineStr">
        <is>
          <t>At least 1 cash/bank account and 1 INCOME GL account. ORG_ADMIN (CASH.ENTRY.RECORD).</t>
        </is>
      </c>
      <c r="G11" s="16" t="inlineStr">
        <is>
          <t>1. Navigate to /admin/cash/entries/record.
2. Cash Account: pick by name.
3. Direction=IN, amount=1200.50, date=today.
4. Counter GL Account: pick an INCOME account by 'code - name'.
5. Memo='Bank interest'; submit.</t>
        </is>
      </c>
      <c r="H11" s="16" t="inlineStr">
        <is>
          <t>amount=1200.50; direction=IN; counter='4100 - Interest Income'.</t>
        </is>
      </c>
      <c r="I11" s="16" t="inlineStr">
        <is>
          <t>HTTP 201. Toast 'Entry recorded · &lt;txnNumber&gt;'. DIRECT_ENTRY cash_transaction + balanced GL recorded. Counter GL options exclude ASSET/LIABILITY (only INCOME/EXPENSE/EQUITY listed).</t>
        </is>
      </c>
      <c r="J11" s="16" t="inlineStr">
        <is>
          <t>/admin/cash/entries/record</t>
        </is>
      </c>
      <c r="K11" s="16" t="inlineStr">
        <is>
          <t>CASH.ENTRY.RECORD</t>
        </is>
      </c>
      <c r="L11" s="16" t="inlineStr"/>
      <c r="M11" s="17" t="inlineStr">
        <is>
          <t>Not Run</t>
        </is>
      </c>
      <c r="N11" s="17" t="inlineStr"/>
      <c r="O11" s="16" t="inlineStr"/>
      <c r="P11" s="16" t="inlineStr"/>
      <c r="Q11" s="16" t="inlineStr"/>
    </row>
    <row r="12">
      <c r="A12" s="18" t="inlineStr">
        <is>
          <t>CB-010</t>
        </is>
      </c>
      <c r="B12" s="19" t="inlineStr">
        <is>
          <t>Direct Entries</t>
        </is>
      </c>
      <c r="C12" s="19" t="inlineStr">
        <is>
          <t>Record direct OUT entry (bank charge) — reduces cash balance</t>
        </is>
      </c>
      <c r="D12" s="8" t="inlineStr">
        <is>
          <t>Positive</t>
        </is>
      </c>
      <c r="E12" s="8" t="inlineStr">
        <is>
          <t>High</t>
        </is>
      </c>
      <c r="F12" s="19" t="inlineStr">
        <is>
          <t>At least 1 cash/bank account and 1 EXPENSE GL account. ORG_ADMIN (CASH.ENTRY.RECORD).</t>
        </is>
      </c>
      <c r="G12" s="19" t="inlineStr">
        <is>
          <t>1. Navigate to /admin/cash/entries/record.
2. Direction=OUT, counter=EXPENSE account 'Monthly bank charge'.
3. Amount=5000, date=today; submit.</t>
        </is>
      </c>
      <c r="H12" s="19" t="inlineStr">
        <is>
          <t>amount=5000; direction=OUT; counter=EXPENSE account.</t>
        </is>
      </c>
      <c r="I12" s="19" t="inlineStr">
        <is>
          <t>HTTP 201. CashTxnDirection=OUT persisted. Running statement (CB-018) later shows this OUT reducing the balance.</t>
        </is>
      </c>
      <c r="J12" s="19" t="inlineStr">
        <is>
          <t>/admin/cash/entries/record</t>
        </is>
      </c>
      <c r="K12" s="19" t="inlineStr">
        <is>
          <t>CASH.ENTRY.RECORD</t>
        </is>
      </c>
      <c r="L12" s="19" t="inlineStr"/>
      <c r="M12" s="8" t="inlineStr">
        <is>
          <t>Not Run</t>
        </is>
      </c>
      <c r="N12" s="8" t="inlineStr"/>
      <c r="O12" s="19" t="inlineStr"/>
      <c r="P12" s="19" t="inlineStr"/>
      <c r="Q12" s="19" t="inlineStr"/>
    </row>
    <row r="13">
      <c r="A13" s="15" t="inlineStr">
        <is>
          <t>CB-011</t>
        </is>
      </c>
      <c r="B13" s="16" t="inlineStr">
        <is>
          <t>Cheque Register</t>
        </is>
      </c>
      <c r="C13" s="16" t="inlineStr">
        <is>
          <t>Register cheque (BANK account only) — status ISSUED; Clear/Cancel action defect (TC-CASH-041)</t>
        </is>
      </c>
      <c r="D13" s="17" t="inlineStr">
        <is>
          <t>Positive</t>
        </is>
      </c>
      <c r="E13" s="17" t="inlineStr">
        <is>
          <t>High</t>
        </is>
      </c>
      <c r="F13" s="16" t="inlineStr">
        <is>
          <t>At least 1 BANK account. ORG_ADMIN (CHEQUE.MANAGE).</t>
        </is>
      </c>
      <c r="G13" s="16" t="inlineStr">
        <is>
          <t>1. Navigate to /admin/cash/cheques.
2. Click 'Register Cheque'.
3. Bank Account: pick BANK account by name.
4. Cheque Number='100245', Payee='Tanesco', Amount=75000, Issue Date=today, Value Date=today+3.
5. Submit.
6. Inspect the new row Status and Actions.</t>
        </is>
      </c>
      <c r="H13" s="16" t="inlineStr">
        <is>
          <t>chequeNumber='100245'; payee='Tanesco'; amount=75000.</t>
        </is>
      </c>
      <c r="I13" s="16" t="inlineStr">
        <is>
          <t>HTTP 201. Toast 'Cheque registered · 100245'. DEFECT: API returns status=ISSUED but HTML gates actions on chq.status==='PENDING'. Clear/Cancel buttons do NOT render. statusBadgeClass('ISSUED') falls through to default badge. Assert this mismatch; file defect (FE ChequeStatus should be ISSUED|CLEARED|CANCELLED, not PENDING|CLEARED|CANCELLED).</t>
        </is>
      </c>
      <c r="J13" s="16" t="inlineStr">
        <is>
          <t>/admin/cash/cheques</t>
        </is>
      </c>
      <c r="K13" s="16" t="inlineStr">
        <is>
          <t>CHEQUE.MANAGE</t>
        </is>
      </c>
      <c r="L13" s="16" t="inlineStr"/>
      <c r="M13" s="17" t="inlineStr">
        <is>
          <t>Not Run</t>
        </is>
      </c>
      <c r="N13" s="17" t="inlineStr"/>
      <c r="O13" s="16" t="inlineStr"/>
      <c r="P13" s="16" t="inlineStr"/>
      <c r="Q13" s="16" t="inlineStr"/>
    </row>
    <row r="14">
      <c r="A14" s="18" t="inlineStr">
        <is>
          <t>CB-012</t>
        </is>
      </c>
      <c r="B14" s="19" t="inlineStr">
        <is>
          <t>Cheque Register</t>
        </is>
      </c>
      <c r="C14" s="19" t="inlineStr">
        <is>
          <t>Clear a cheque (ISSUED → CLEARED) via API (due to UI defect)</t>
        </is>
      </c>
      <c r="D14" s="8" t="inlineStr">
        <is>
          <t>Positive</t>
        </is>
      </c>
      <c r="E14" s="8" t="inlineStr">
        <is>
          <t>High</t>
        </is>
      </c>
      <c r="F14" s="19" t="inlineStr">
        <is>
          <t>A cheque in ISSUED status. ORG_ADMIN (CHEQUE.MANAGE).</t>
        </is>
      </c>
      <c r="G14" s="19" t="inlineStr">
        <is>
          <t>1. POST /api/v1/cash/cheques/uid/{uid}/clear.
2. Reload the cheques list.</t>
        </is>
      </c>
      <c r="H14" s="19" t="inlineStr">
        <is>
          <t>Cheque in ISSUED status.</t>
        </is>
      </c>
      <c r="I14" s="19" t="inlineStr">
        <is>
          <t>Status → CLEARED. clearedAt set. Toast 'Cheque cleared · &lt;number&gt;'. Once the UI PENDING/ISSUED defect is fixed, the UI 'Clear' button should trigger the same.</t>
        </is>
      </c>
      <c r="J14" s="19" t="inlineStr">
        <is>
          <t>/admin/cash/cheques</t>
        </is>
      </c>
      <c r="K14" s="19" t="inlineStr">
        <is>
          <t>CHEQUE.MANAGE</t>
        </is>
      </c>
      <c r="L14" s="19" t="inlineStr"/>
      <c r="M14" s="8" t="inlineStr">
        <is>
          <t>Not Run</t>
        </is>
      </c>
      <c r="N14" s="8" t="inlineStr"/>
      <c r="O14" s="19" t="inlineStr"/>
      <c r="P14" s="19" t="inlineStr"/>
      <c r="Q14" s="19" t="inlineStr"/>
    </row>
    <row r="15">
      <c r="A15" s="15" t="inlineStr">
        <is>
          <t>CB-013</t>
        </is>
      </c>
      <c r="B15" s="16" t="inlineStr">
        <is>
          <t>Cheque Register</t>
        </is>
      </c>
      <c r="C15" s="16" t="inlineStr">
        <is>
          <t>Cancel a cheque (ISSUED → CANCELLED)</t>
        </is>
      </c>
      <c r="D15" s="17" t="inlineStr">
        <is>
          <t>Positive</t>
        </is>
      </c>
      <c r="E15" s="17" t="inlineStr">
        <is>
          <t>High</t>
        </is>
      </c>
      <c r="F15" s="16" t="inlineStr">
        <is>
          <t>A cheque in ISSUED status. ORG_ADMIN (CHEQUE.MANAGE).</t>
        </is>
      </c>
      <c r="G15" s="16" t="inlineStr">
        <is>
          <t>1. POST /api/v1/cash/cheques/uid/{uid}/cancel.
2. Reload list.</t>
        </is>
      </c>
      <c r="H15" s="16" t="inlineStr">
        <is>
          <t>Cheque in ISSUED status (different cheque from CB-012).</t>
        </is>
      </c>
      <c r="I15" s="16" t="inlineStr">
        <is>
          <t>Status → CANCELLED. cancelledAt set. Toast 'Cheque cancelled · &lt;number&gt;'.</t>
        </is>
      </c>
      <c r="J15" s="16" t="inlineStr">
        <is>
          <t>/admin/cash/cheques</t>
        </is>
      </c>
      <c r="K15" s="16" t="inlineStr">
        <is>
          <t>CHEQUE.MANAGE</t>
        </is>
      </c>
      <c r="L15" s="16" t="inlineStr"/>
      <c r="M15" s="17" t="inlineStr">
        <is>
          <t>Not Run</t>
        </is>
      </c>
      <c r="N15" s="17" t="inlineStr"/>
      <c r="O15" s="16" t="inlineStr"/>
      <c r="P15" s="16" t="inlineStr"/>
      <c r="Q15" s="16" t="inlineStr"/>
    </row>
    <row r="16">
      <c r="A16" s="18" t="inlineStr">
        <is>
          <t>CB-014</t>
        </is>
      </c>
      <c r="B16" s="19" t="inlineStr">
        <is>
          <t>Cheque Register</t>
        </is>
      </c>
      <c r="C16" s="19" t="inlineStr">
        <is>
          <t>Illegal cheque transitions from terminal states are rejected</t>
        </is>
      </c>
      <c r="D16" s="8" t="inlineStr">
        <is>
          <t>Negative</t>
        </is>
      </c>
      <c r="E16" s="8" t="inlineStr">
        <is>
          <t>High</t>
        </is>
      </c>
      <c r="F16" s="19" t="inlineStr">
        <is>
          <t>One CLEARED cheque; one CANCELLED cheque.</t>
        </is>
      </c>
      <c r="G16" s="19" t="inlineStr">
        <is>
          <t>1. POST clear on a CLEARED cheque.
2. POST cancel on a CLEARED cheque.
3. POST clear on a CANCELLED cheque.
4. POST cancel on a CANCELLED cheque.</t>
        </is>
      </c>
      <c r="H16" s="19" t="inlineStr">
        <is>
          <t>Backend ChequeStatus: ISSUED, CLEARED, CANCELLED, DEPOSITED, BOUNCED.</t>
        </is>
      </c>
      <c r="I16" s="19" t="inlineStr">
        <is>
          <t>All four rejected with 4xx + errors[]. ChequeStatus terminal states (CLEARED, CANCELLED) are immutable. No status change on any attempt.</t>
        </is>
      </c>
      <c r="J16" s="19" t="inlineStr">
        <is>
          <t>/admin/cash/cheques</t>
        </is>
      </c>
      <c r="K16" s="19" t="inlineStr">
        <is>
          <t>CHEQUE.MANAGE</t>
        </is>
      </c>
      <c r="L16" s="19" t="inlineStr"/>
      <c r="M16" s="8" t="inlineStr">
        <is>
          <t>Not Run</t>
        </is>
      </c>
      <c r="N16" s="8" t="inlineStr"/>
      <c r="O16" s="19" t="inlineStr"/>
      <c r="P16" s="19" t="inlineStr"/>
      <c r="Q16" s="19" t="inlineStr"/>
    </row>
    <row r="17">
      <c r="A17" s="15" t="inlineStr">
        <is>
          <t>CB-015</t>
        </is>
      </c>
      <c r="B17" s="16" t="inlineStr">
        <is>
          <t>Cheque Register</t>
        </is>
      </c>
      <c r="C17" s="16" t="inlineStr">
        <is>
          <t>Cheque bounce — inbound cheque DEPOSITED → BOUNCED lifecycle (ADR-0040 D-9)</t>
        </is>
      </c>
      <c r="D17" s="17" t="inlineStr">
        <is>
          <t>Positive</t>
        </is>
      </c>
      <c r="E17" s="17" t="inlineStr">
        <is>
          <t>Medium</t>
        </is>
      </c>
      <c r="F17" s="16" t="inlineStr">
        <is>
          <t>An inbound cheque in DEPOSITED status (registered as inbound).</t>
        </is>
      </c>
      <c r="G17" s="16" t="inlineStr">
        <is>
          <t>1. Trigger the cheque-bounce reversal event (ChequeBounceReversalHandler).
2. Read the cheque status and the linked GL reversal entry.</t>
        </is>
      </c>
      <c r="H17" s="16" t="inlineStr">
        <is>
          <t>Inbound cheque previously deposited and linked to an AR receipt.</t>
        </is>
      </c>
      <c r="I17" s="16" t="inlineStr">
        <is>
          <t>Cheque status → BOUNCED. The AR receipt reversal is posted (ChequeBounceReversalHandler re-opens the AR invoice). Backend ChequeStatus enum includes DEPOSITED and BOUNCED (ADR-0040 D-9).</t>
        </is>
      </c>
      <c r="J17" s="16" t="inlineStr">
        <is>
          <t>/admin/cash/cheques</t>
        </is>
      </c>
      <c r="K17" s="16" t="inlineStr">
        <is>
          <t>CHEQUE.MANAGE</t>
        </is>
      </c>
      <c r="L17" s="16" t="inlineStr"/>
      <c r="M17" s="17" t="inlineStr">
        <is>
          <t>Not Run</t>
        </is>
      </c>
      <c r="N17" s="17" t="inlineStr"/>
      <c r="O17" s="16" t="inlineStr"/>
      <c r="P17" s="16" t="inlineStr"/>
      <c r="Q17" s="16" t="inlineStr"/>
    </row>
    <row r="18">
      <c r="A18" s="18" t="inlineStr">
        <is>
          <t>CB-016</t>
        </is>
      </c>
      <c r="B18" s="19" t="inlineStr">
        <is>
          <t>Bank Reconciliation</t>
        </is>
      </c>
      <c r="C18" s="19" t="inlineStr">
        <is>
          <t>Open reconciliation (DRAFT) for a BANK account</t>
        </is>
      </c>
      <c r="D18" s="8" t="inlineStr">
        <is>
          <t>Positive</t>
        </is>
      </c>
      <c r="E18" s="8" t="inlineStr">
        <is>
          <t>High</t>
        </is>
      </c>
      <c r="F18" s="19" t="inlineStr">
        <is>
          <t>A BANK account with cleared/uncleared transactions. ORG_ADMIN (CASH.RECONCILE).</t>
        </is>
      </c>
      <c r="G18" s="19" t="inlineStr">
        <is>
          <t>1. Navigate to /admin/cash/reconciliations.
2. Pick BANK account by name → transactions load.
3. Click 'Open reconciliation'; enter statementDate=today, statementClosingBalance=250000.
4. Submit.</t>
        </is>
      </c>
      <c r="H18" s="19" t="inlineStr">
        <is>
          <t>statementDate=today; statementClosingBalance=250000.</t>
        </is>
      </c>
      <c r="I18" s="19" t="inlineStr">
        <is>
          <t>HTTP 201. Reconciliation in DRAFT. Toast 'Reconciliation opened · &lt;reconciliationNumber&gt;'. Difference indicator and Complete button appear. Only BANK accounts in picker — CASH excluded.</t>
        </is>
      </c>
      <c r="J18" s="19" t="inlineStr">
        <is>
          <t>/admin/cash/reconciliations</t>
        </is>
      </c>
      <c r="K18" s="19" t="inlineStr">
        <is>
          <t>CASH.RECONCILE</t>
        </is>
      </c>
      <c r="L18" s="19" t="inlineStr"/>
      <c r="M18" s="8" t="inlineStr">
        <is>
          <t>Not Run</t>
        </is>
      </c>
      <c r="N18" s="8" t="inlineStr"/>
      <c r="O18" s="19" t="inlineStr"/>
      <c r="P18" s="19" t="inlineStr"/>
      <c r="Q18" s="19" t="inlineStr"/>
    </row>
    <row r="19">
      <c r="A19" s="15" t="inlineStr">
        <is>
          <t>CB-017</t>
        </is>
      </c>
      <c r="B19" s="16" t="inlineStr">
        <is>
          <t>Bank Reconciliation</t>
        </is>
      </c>
      <c r="C19" s="16" t="inlineStr">
        <is>
          <t>Mark transactions cleared/uncleared — running cleared book balance updates live</t>
        </is>
      </c>
      <c r="D19" s="17" t="inlineStr">
        <is>
          <t>Positive</t>
        </is>
      </c>
      <c r="E19" s="17" t="inlineStr">
        <is>
          <t>High</t>
        </is>
      </c>
      <c r="F19" s="16" t="inlineStr">
        <is>
          <t>An open DRAFT reconciliation with at least 2 transactions. ORG_ADMIN (CASH.RECONCILE).</t>
        </is>
      </c>
      <c r="G19" s="16" t="inlineStr">
        <is>
          <t>1. Tick a transaction's cleared checkbox.
2. Untick it.
3. Tick multiple transactions.
4. Observe cleared-book-balance after each toggle.</t>
        </is>
      </c>
      <c r="H19" s="16" t="inlineStr">
        <is>
          <t>Mix of IN (balance increases) and OUT (balance decreases) transactions.</t>
        </is>
      </c>
      <c r="I19" s="16" t="inlineStr">
        <is>
          <t>Each toggle persists (optimistic UI). cleared-book-balance recomputes: IN adds, OUT subtracts. Difference = clearedBookBalance - statementClosingBalance. Marking cleared on a COMPLETED reconciliation must be rejected by service.</t>
        </is>
      </c>
      <c r="J19" s="16" t="inlineStr">
        <is>
          <t>/admin/cash/reconciliations</t>
        </is>
      </c>
      <c r="K19" s="16" t="inlineStr">
        <is>
          <t>CASH.RECONCILE</t>
        </is>
      </c>
      <c r="L19" s="16" t="inlineStr"/>
      <c r="M19" s="17" t="inlineStr">
        <is>
          <t>Not Run</t>
        </is>
      </c>
      <c r="N19" s="17" t="inlineStr"/>
      <c r="O19" s="16" t="inlineStr"/>
      <c r="P19" s="16" t="inlineStr"/>
      <c r="Q19" s="16" t="inlineStr"/>
    </row>
    <row r="20">
      <c r="A20" s="18" t="inlineStr">
        <is>
          <t>CB-018</t>
        </is>
      </c>
      <c r="B20" s="19" t="inlineStr">
        <is>
          <t>Bank Reconciliation</t>
        </is>
      </c>
      <c r="C20" s="19" t="inlineStr">
        <is>
          <t>Complete reconciliation gated: enabled only when cleared balance == statement closing balance</t>
        </is>
      </c>
      <c r="D20" s="8" t="inlineStr">
        <is>
          <t>Positive</t>
        </is>
      </c>
      <c r="E20" s="8" t="inlineStr">
        <is>
          <t>High</t>
        </is>
      </c>
      <c r="F20" s="19" t="inlineStr">
        <is>
          <t>Open DRAFT recon with transactions that can sum to the closing balance. ORG_ADMIN (CASH.RECONCILE).</t>
        </is>
      </c>
      <c r="G20" s="19" t="inlineStr">
        <is>
          <t>1. With difference != 0: confirm Complete button disabled.
2. Tick transactions until clearedBookBalance == statementClosingBalance (within 1e-6).
3. Click Complete.</t>
        </is>
      </c>
      <c r="H20" s="19" t="inlineStr">
        <is>
          <t>statementClosingBalance=250000. Tick enough transactions to match.</t>
        </is>
      </c>
      <c r="I20" s="19" t="inlineStr">
        <is>
          <t>Step 1: disabled. Step 3: HTTP 200. Status → COMPLETED. completedAt/reconciledBy set. Toast 'Reconciliation completed'. API force-complete while unbalanced → service rejects (BR-CASH-06).</t>
        </is>
      </c>
      <c r="J20" s="19" t="inlineStr">
        <is>
          <t>/admin/cash/reconciliations</t>
        </is>
      </c>
      <c r="K20" s="19" t="inlineStr">
        <is>
          <t>CASH.RECONCILE</t>
        </is>
      </c>
      <c r="L20" s="19" t="inlineStr"/>
      <c r="M20" s="8" t="inlineStr">
        <is>
          <t>Not Run</t>
        </is>
      </c>
      <c r="N20" s="8" t="inlineStr"/>
      <c r="O20" s="19" t="inlineStr"/>
      <c r="P20" s="19" t="inlineStr"/>
      <c r="Q20" s="19" t="inlineStr"/>
    </row>
    <row r="21">
      <c r="A21" s="15" t="inlineStr">
        <is>
          <t>CB-019</t>
        </is>
      </c>
      <c r="B21" s="16" t="inlineStr">
        <is>
          <t>Bank Reconciliation</t>
        </is>
      </c>
      <c r="C21" s="16" t="inlineStr">
        <is>
          <t>Illegal reconciliation transitions — re-complete and mutate after complete both rejected</t>
        </is>
      </c>
      <c r="D21" s="17" t="inlineStr">
        <is>
          <t>Negative</t>
        </is>
      </c>
      <c r="E21" s="17" t="inlineStr">
        <is>
          <t>High</t>
        </is>
      </c>
      <c r="F21" s="16" t="inlineStr">
        <is>
          <t>A COMPLETED reconciliation. ORG_ADMIN (CASH.RECONCILE).</t>
        </is>
      </c>
      <c r="G21" s="16" t="inlineStr">
        <is>
          <t>1. POST complete on an already-COMPLETED reconciliation.
2. POST mark-cleared against a COMPLETED reconciliation.</t>
        </is>
      </c>
      <c r="H21" s="16" t="inlineStr">
        <is>
          <t>Reconciliation with status=COMPLETED.</t>
        </is>
      </c>
      <c r="I21" s="16" t="inlineStr">
        <is>
          <t>Both rejected with 4xx + errors[]. COMPLETED is terminal (DRAFT→COMPLETED only). UI completeDisabled=true when already COMPLETED.</t>
        </is>
      </c>
      <c r="J21" s="16" t="inlineStr">
        <is>
          <t>/admin/cash/reconciliations</t>
        </is>
      </c>
      <c r="K21" s="16" t="inlineStr">
        <is>
          <t>CASH.RECONCILE</t>
        </is>
      </c>
      <c r="L21" s="16" t="inlineStr"/>
      <c r="M21" s="17" t="inlineStr">
        <is>
          <t>Not Run</t>
        </is>
      </c>
      <c r="N21" s="17" t="inlineStr"/>
      <c r="O21" s="16" t="inlineStr"/>
      <c r="P21" s="16" t="inlineStr"/>
      <c r="Q21" s="16" t="inlineStr"/>
    </row>
    <row r="22">
      <c r="A22" s="18" t="inlineStr">
        <is>
          <t>CB-020</t>
        </is>
      </c>
      <c r="B22" s="19" t="inlineStr">
        <is>
          <t>Cash Statement</t>
        </is>
      </c>
      <c r="C22" s="19" t="inlineStr">
        <is>
          <t>Running-balance statement — IN adds, OUT subtracts, chronological; txnType from backend enum</t>
        </is>
      </c>
      <c r="D22" s="8" t="inlineStr">
        <is>
          <t>Positive</t>
        </is>
      </c>
      <c r="E22" s="8" t="inlineStr">
        <is>
          <t>High</t>
        </is>
      </c>
      <c r="F22" s="19" t="inlineStr">
        <is>
          <t>Account with mix of IN and OUT transactions (transfers + direct entries). ORG_ADMIN (CASH.VIEW).</t>
        </is>
      </c>
      <c r="G22" s="19" t="inlineStr">
        <is>
          <t>1. Navigate to /admin/cash/statement.
2. Pick account by name.
3. Read transaction table with running-balance column.</t>
        </is>
      </c>
      <c r="H22" s="19" t="inlineStr">
        <is>
          <t>Account with at least 3 transactions of mixed direction.</t>
        </is>
      </c>
      <c r="I22" s="19" t="inlineStr">
        <is>
          <t>Each row shows direction badge (IN=green/OUT=red), amount, cumulative runningBalance. Final running balance equals current balance card. txnType values from backend: AR_RECEIPT, AP_PAYMENT, TRANSFER_IN, TRANSFER_OUT, DIRECT_ENTRY (NOT FE model's RECEIPT/PAYMENT/CHEQUE). Flag label blanks if drift occurs.</t>
        </is>
      </c>
      <c r="J22" s="19" t="inlineStr">
        <is>
          <t>/admin/cash/statement</t>
        </is>
      </c>
      <c r="K22" s="19" t="inlineStr">
        <is>
          <t>CASH.VIEW</t>
        </is>
      </c>
      <c r="L22" s="19" t="inlineStr"/>
      <c r="M22" s="8" t="inlineStr">
        <is>
          <t>Not Run</t>
        </is>
      </c>
      <c r="N22" s="8" t="inlineStr"/>
      <c r="O22" s="19" t="inlineStr"/>
      <c r="P22" s="19" t="inlineStr"/>
      <c r="Q22" s="19" t="inlineStr"/>
    </row>
    <row r="23">
      <c r="A23" s="15" t="inlineStr">
        <is>
          <t>CB-021</t>
        </is>
      </c>
      <c r="B23" s="16" t="inlineStr">
        <is>
          <t>Cash Statement</t>
        </is>
      </c>
      <c r="C23" s="16" t="inlineStr">
        <is>
          <t>Book vs GL reconciliation indicator — difference must be 0.00 for a healthy account</t>
        </is>
      </c>
      <c r="D23" s="17" t="inlineStr">
        <is>
          <t>Positive</t>
        </is>
      </c>
      <c r="E23" s="17" t="inlineStr">
        <is>
          <t>High</t>
        </is>
      </c>
      <c r="F23" s="16" t="inlineStr">
        <is>
          <t>Account whose book balance equals its linked GL account balance. ORG_ADMIN (CASH.VIEW).</t>
        </is>
      </c>
      <c r="G23" s="16" t="inlineStr">
        <is>
          <t>1. Select account on /admin/cash/statement.
2. Read GL-reconciliation panel: bookBalance, linkedGlBalance, difference.</t>
        </is>
      </c>
      <c r="H23" s="16" t="inlineStr">
        <is>
          <t>Account with all postings originating from balanced GL entries.</t>
        </is>
      </c>
      <c r="I23" s="16" t="inlineStr">
        <is>
          <t>difference = 0.00, glReconciled=true (|difference| &lt; 1e-6). A non-zero difference is a finance-grade defect — log it for investigation.</t>
        </is>
      </c>
      <c r="J23" s="16" t="inlineStr">
        <is>
          <t>/admin/cash/statement</t>
        </is>
      </c>
      <c r="K23" s="16" t="inlineStr">
        <is>
          <t>CASH.VIEW</t>
        </is>
      </c>
      <c r="L23" s="16" t="inlineStr"/>
      <c r="M23" s="17" t="inlineStr">
        <is>
          <t>Not Run</t>
        </is>
      </c>
      <c r="N23" s="17" t="inlineStr"/>
      <c r="O23" s="16" t="inlineStr"/>
      <c r="P23" s="16" t="inlineStr"/>
      <c r="Q23" s="16" t="inlineStr"/>
    </row>
    <row r="24">
      <c r="A24" s="18" t="inlineStr">
        <is>
          <t>CB-022</t>
        </is>
      </c>
      <c r="B24" s="19" t="inlineStr">
        <is>
          <t>Cash Statement</t>
        </is>
      </c>
      <c r="C24" s="19" t="inlineStr">
        <is>
          <t>Company-wide balances and GL reconciliation via API (all accounts)</t>
        </is>
      </c>
      <c r="D24" s="8" t="inlineStr">
        <is>
          <t>Positive</t>
        </is>
      </c>
      <c r="E24" s="8" t="inlineStr">
        <is>
          <t>Medium</t>
        </is>
      </c>
      <c r="F24" s="19" t="inlineStr">
        <is>
          <t>Company with several accounts. ORG_ADMIN (CASH.VIEW).</t>
        </is>
      </c>
      <c r="G24" s="19" t="inlineStr">
        <is>
          <t>1. GET /api/v1/cash/statements/balances?companyId=&lt;id&gt;.
2. GET /api/v1/cash/statements/gl-reconciliation?companyId=&lt;id&gt;.
3. Repeat as no-permission user.</t>
        </is>
      </c>
      <c r="H24" s="19" t="inlineStr">
        <is>
          <t>Company with at least 2 accounts.</t>
        </is>
      </c>
      <c r="I24" s="19" t="inlineStr">
        <is>
          <t>ORG_ADMIN: CashAccountBalanceDto[] and CashGlReconciliationDto[] for all accounts. No-permission: 403. Any account with non-zero difference surfaces for investigation.</t>
        </is>
      </c>
      <c r="J24" s="19" t="inlineStr">
        <is>
          <t>/admin/cash/statement</t>
        </is>
      </c>
      <c r="K24" s="19" t="inlineStr">
        <is>
          <t>CASH.VIEW</t>
        </is>
      </c>
      <c r="L24" s="19" t="inlineStr"/>
      <c r="M24" s="8" t="inlineStr">
        <is>
          <t>Not Run</t>
        </is>
      </c>
      <c r="N24" s="8" t="inlineStr"/>
      <c r="O24" s="19" t="inlineStr"/>
      <c r="P24" s="19" t="inlineStr"/>
      <c r="Q24" s="19" t="inlineStr"/>
    </row>
    <row r="25">
      <c r="A25" s="15" t="inlineStr">
        <is>
          <t>CB-023</t>
        </is>
      </c>
      <c r="B25" s="16" t="inlineStr">
        <is>
          <t>RBAC</t>
        </is>
      </c>
      <c r="C25" s="16" t="inlineStr">
        <is>
          <t>CASH.VIEW-only user sees read-only nav; cannot access transfer/entry/cheque/reconciliation screens</t>
        </is>
      </c>
      <c r="D25" s="17" t="inlineStr">
        <is>
          <t>Permission</t>
        </is>
      </c>
      <c r="E25" s="17" t="inlineStr">
        <is>
          <t>High</t>
        </is>
      </c>
      <c r="F25" s="16" t="inlineStr">
        <is>
          <t>Custom role with CASH.VIEW only.</t>
        </is>
      </c>
      <c r="G25" s="16" t="inlineStr">
        <is>
          <t>1. Log in as CASH.VIEW-only user.
2. Confirm nav shows: Cash &amp; Bank Accounts, Transfers, Cash Statement. Hides: Cash Transfer record, Cash/Bank Entry, Cheques, Bank Reconciliation.
3. Navigate directly to /admin/cash/transfers/record, /cash/entries/record, /cash/cheques, /cash/reconciliations.</t>
        </is>
      </c>
      <c r="H25" s="16" t="inlineStr">
        <is>
          <t>CASH.VIEW only custom role.</t>
        </is>
      </c>
      <c r="I25" s="16" t="inlineStr">
        <is>
          <t>Read routes accessible. Each write/action route blocked by requirePermission guard. Note: CHEQUE.MANAGE guards the cheques route (CASH.VIEW alone is not enough for that screen).</t>
        </is>
      </c>
      <c r="J25" s="16" t="inlineStr">
        <is>
          <t>/admin/cash/accounts</t>
        </is>
      </c>
      <c r="K25" s="16" t="inlineStr">
        <is>
          <t>CASH.VIEW (denied for action routes)</t>
        </is>
      </c>
      <c r="L25" s="16" t="inlineStr"/>
      <c r="M25" s="17" t="inlineStr">
        <is>
          <t>Not Run</t>
        </is>
      </c>
      <c r="N25" s="17" t="inlineStr"/>
      <c r="O25" s="16" t="inlineStr"/>
      <c r="P25" s="16" t="inlineStr"/>
      <c r="Q25" s="16" t="inlineStr"/>
    </row>
    <row r="26">
      <c r="A26" s="18" t="inlineStr">
        <is>
          <t>CB-024</t>
        </is>
      </c>
      <c r="B26" s="19" t="inlineStr">
        <is>
          <t>Multi-Tenancy</t>
        </is>
      </c>
      <c r="C26" s="19" t="inlineStr">
        <is>
          <t>Cross-tenant isolation — company A cannot see company B's cash data</t>
        </is>
      </c>
      <c r="D26" s="8" t="inlineStr">
        <is>
          <t>Negative</t>
        </is>
      </c>
      <c r="E26" s="8" t="inlineStr">
        <is>
          <t>High</t>
        </is>
      </c>
      <c r="F26" s="19" t="inlineStr">
        <is>
          <t>Two companies A and B with cash accounts and transactions. Logged in as Tenant A's ORG_ADMIN.</t>
        </is>
      </c>
      <c r="G26" s="19" t="inlineStr">
        <is>
          <t>1. List accounts/transfers/cheques scoped to A's companyId.
2. GET a Tenant B account uid directly.
3. GET a Tenant B transfer uid directly.
4. GET a Tenant B cheque uid directly.</t>
        </is>
      </c>
      <c r="H26" s="19" t="inlineStr">
        <is>
          <t>Tenant B account, transfer, cheque uids.</t>
        </is>
      </c>
      <c r="I26" s="19" t="inlineStr">
        <is>
          <t>Lists show only A's data. B's scoped-get endpoints return 403/404 via @perm.scoped helpers. No B data leaks.</t>
        </is>
      </c>
      <c r="J26" s="19" t="inlineStr">
        <is>
          <t>/admin/cash/accounts</t>
        </is>
      </c>
      <c r="K26" s="19" t="inlineStr">
        <is>
          <t>CASH.VIEW</t>
        </is>
      </c>
      <c r="L26" s="19" t="inlineStr"/>
      <c r="M26" s="8" t="inlineStr">
        <is>
          <t>Not Run</t>
        </is>
      </c>
      <c r="N26" s="8" t="inlineStr"/>
      <c r="O26" s="19" t="inlineStr"/>
      <c r="P26" s="19" t="inlineStr"/>
      <c r="Q26" s="19" t="inlineStr"/>
    </row>
    <row r="27">
      <c r="A27" s="15" t="inlineStr">
        <is>
          <t>CB-025</t>
        </is>
      </c>
      <c r="B27" s="16" t="inlineStr">
        <is>
          <t>Enum/Wire Correctness</t>
        </is>
      </c>
      <c r="C27" s="16" t="inlineStr">
        <is>
          <t>CashTxnType FE model drifts from backend — RECEIPT/PAYMENT/CHEQUE vs AR_RECEIPT/AP_PAYMENT</t>
        </is>
      </c>
      <c r="D27" s="17" t="inlineStr">
        <is>
          <t>Negative</t>
        </is>
      </c>
      <c r="E27" s="17" t="inlineStr">
        <is>
          <t>Medium</t>
        </is>
      </c>
      <c r="F27" s="16" t="inlineStr">
        <is>
          <t>Account with AR_RECEIPT and AP_PAYMENT transactions. ORG_ADMIN.</t>
        </is>
      </c>
      <c r="G27" s="16" t="inlineStr">
        <is>
          <t>1. View the cash statement for the account.
2. Inspect the rendered txnType labels for AR receipt and AP payment rows.</t>
        </is>
      </c>
      <c r="H27" s="16" t="inlineStr">
        <is>
          <t>Account with both AR_RECEIPT and AP_PAYMENT transactions.</t>
        </is>
      </c>
      <c r="I27" s="16" t="inlineStr">
        <is>
          <t>Backend emits AR_RECEIPT and AP_PAYMENT. FE model declares RECEIPT and PAYMENT. Any label lookup keyed on the FE union risks showing blank/unknown. Assert the rendered labels are readable; flag any blank/unknown as the FE/BE enum drift defect.</t>
        </is>
      </c>
      <c r="J27" s="16" t="inlineStr">
        <is>
          <t>/admin/cash/statement</t>
        </is>
      </c>
      <c r="K27" s="16" t="inlineStr">
        <is>
          <t>CASH.VIEW</t>
        </is>
      </c>
      <c r="L27" s="16" t="inlineStr"/>
      <c r="M27" s="17" t="inlineStr">
        <is>
          <t>Not Run</t>
        </is>
      </c>
      <c r="N27" s="17" t="inlineStr"/>
      <c r="O27" s="16" t="inlineStr"/>
      <c r="P27" s="16" t="inlineStr"/>
      <c r="Q27" s="16" t="inlineStr"/>
    </row>
    <row r="28">
      <c r="A28" s="18" t="inlineStr">
        <is>
          <t>CB-026</t>
        </is>
      </c>
      <c r="B28" s="19" t="inlineStr">
        <is>
          <t>Posting Correctness</t>
        </is>
      </c>
      <c r="C28" s="19" t="inlineStr">
        <is>
          <t>Transfer GL entry is balanced: TRANSFER_OUT debit + TRANSFER_IN credit net to zero</t>
        </is>
      </c>
      <c r="D28" s="8" t="inlineStr">
        <is>
          <t>Positive</t>
        </is>
      </c>
      <c r="E28" s="8" t="inlineStr">
        <is>
          <t>High</t>
        </is>
      </c>
      <c r="F28" s="19" t="inlineStr">
        <is>
          <t>Two active accounts. ORG_ADMIN. GL.VIEW to inspect the linked journal.</t>
        </is>
      </c>
      <c r="G28" s="19" t="inlineStr">
        <is>
          <t>1. Record a transfer of 10000 from CASH to BANK.
2. Fetch the linked GL entry from the transfer detail (journalEntryRef).
3. Sum debits and credits.</t>
        </is>
      </c>
      <c r="H28" s="19" t="inlineStr">
        <is>
          <t>Transfer amount=10000.</t>
        </is>
      </c>
      <c r="I28" s="19" t="inlineStr">
        <is>
          <t>GL entry has exactly 2 lines: DR Cash account 10000 / CR Bank account 10000 (or vice versa depending on direction convention). totalDebits == totalCredits == 10000. Transfer is atomic — partial entries must not exist.</t>
        </is>
      </c>
      <c r="J28" s="19" t="inlineStr">
        <is>
          <t>/admin/cash/transfers/uid/:uid</t>
        </is>
      </c>
      <c r="K28" s="19" t="inlineStr">
        <is>
          <t>CASH.VIEW + GL.VIEW</t>
        </is>
      </c>
      <c r="L28" s="19" t="inlineStr"/>
      <c r="M28" s="8" t="inlineStr">
        <is>
          <t>Not Run</t>
        </is>
      </c>
      <c r="N28" s="8" t="inlineStr"/>
      <c r="O28" s="19" t="inlineStr"/>
      <c r="P28" s="19" t="inlineStr"/>
      <c r="Q28" s="19" t="inlineStr"/>
    </row>
    <row r="29">
      <c r="A29" s="15" t="inlineStr">
        <is>
          <t>CB-027</t>
        </is>
      </c>
      <c r="B29" s="16" t="inlineStr">
        <is>
          <t>Accessibility</t>
        </is>
      </c>
      <c r="C29" s="16" t="inlineStr">
        <is>
          <t>Axe accessibility sweep across all cash screens</t>
        </is>
      </c>
      <c r="D29" s="17" t="inlineStr">
        <is>
          <t>Positive</t>
        </is>
      </c>
      <c r="E29" s="17" t="inlineStr">
        <is>
          <t>Medium</t>
        </is>
      </c>
      <c r="F29" s="16" t="inlineStr">
        <is>
          <t>ORG_ADMIN logged in with data seeded on all screens.</t>
        </is>
      </c>
      <c r="G29" s="16" t="inlineStr">
        <is>
          <t>1. Run axe scan on: /admin/cash/accounts, /cash/transfers, /cash/transfers/record, /cash/entries/record, /cash/cheques, /cash/reconciliations, /cash/statement.
2. Open create/register forms and scan again.</t>
        </is>
      </c>
      <c r="H29" s="16" t="inlineStr">
        <is>
          <t>Accounts, transfers, entries, cheques, reconciliation all seeded.</t>
        </is>
      </c>
      <c r="I29" s="16" t="inlineStr">
        <is>
          <t>Zero serious/critical axe violations. Tables have captions + scope. Form controls have associated labels. Spinners/alerts have appropriate aria roles. Open forms (role='form' with aria-label) axe-clean.</t>
        </is>
      </c>
      <c r="J29" s="16" t="inlineStr">
        <is>
          <t>/admin/cash/accounts</t>
        </is>
      </c>
      <c r="K29" s="16" t="inlineStr">
        <is>
          <t>CASH.VIEW + CASH.ACCOUNT.MANAGE + CHEQUE.MANAGE + CASH.RECONCILE</t>
        </is>
      </c>
      <c r="L29" s="16" t="inlineStr"/>
      <c r="M29" s="17" t="inlineStr">
        <is>
          <t>Not Run</t>
        </is>
      </c>
      <c r="N29" s="17" t="inlineStr"/>
      <c r="O29" s="16" t="inlineStr"/>
      <c r="P29" s="16" t="inlineStr"/>
      <c r="Q29" s="16" t="inlineStr"/>
    </row>
  </sheetData>
  <autoFilter ref="A2:Q29"/>
  <mergeCells count="1">
    <mergeCell ref="A1:Q1"/>
  </mergeCells>
  <dataValidations count="4">
    <dataValidation sqref="D3:D29" showDropDown="0" showInputMessage="0" showErrorMessage="0" allowBlank="1" type="list">
      <formula1>"Positive,Negative,Permission,Edge"</formula1>
    </dataValidation>
    <dataValidation sqref="E3:E29" showDropDown="0" showInputMessage="0" showErrorMessage="0" allowBlank="1" type="list">
      <formula1>"High,Medium,Low"</formula1>
    </dataValidation>
    <dataValidation sqref="M3:M29" showDropDown="0" showInputMessage="0" showErrorMessage="0" allowBlank="1" type="list">
      <formula1>"Not Run,Pass,Fail,Blocked,N/A"</formula1>
    </dataValidation>
    <dataValidation sqref="N3:N29" showDropDown="0" showInputMessage="0" showErrorMessage="0" allowBlank="1" type="list">
      <formula1>"-,Critical,High,Medium,Low"</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1"/>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Tax (VAT/WHT)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TAX-001</t>
        </is>
      </c>
      <c r="B3" s="16" t="inlineStr">
        <is>
          <t>VAT Returns</t>
        </is>
      </c>
      <c r="C3" s="16" t="inlineStr">
        <is>
          <t>VAT Returns list loads and displays all columns for an authorised user</t>
        </is>
      </c>
      <c r="D3" s="17" t="inlineStr">
        <is>
          <t>Positive</t>
        </is>
      </c>
      <c r="E3" s="17" t="inlineStr">
        <is>
          <t>High</t>
        </is>
      </c>
      <c r="F3" s="16" t="inlineStr">
        <is>
          <t>Logged in as ORG_ADMIN (has VAT.VIEW). At least one VAT return exists for the company. Navigate to /admin/tax/vat-returns.</t>
        </is>
      </c>
      <c r="G3" s="16" t="inlineStr">
        <is>
          <t>1. Log in as ORG_ADMIN.
2. Navigate to /admin/tax/vat-returns.
3. Observe the company selector auto-selects the first company and the table loads.
4. Read each row: return number, period (YYYY-MM), status badge, money columns.</t>
        </is>
      </c>
      <c r="H3" s="16" t="inlineStr">
        <is>
          <t>Company: Acme Trading Ltd. At least one DRAFT and one FILED return seeded.</t>
        </is>
      </c>
      <c r="I3" s="16" t="inlineStr">
        <is>
          <t>Table renders with correct columns. Status badge shows DRAFT in warning colour and FILED in success colour. Money amounts formatted to 2 decimal places. Clicking a row navigates to /admin/tax/vat-returns/uid/:uid. No raw UID visible as table cell text.</t>
        </is>
      </c>
      <c r="J3" s="16" t="inlineStr">
        <is>
          <t>/admin/tax/vat-returns</t>
        </is>
      </c>
      <c r="K3" s="16" t="inlineStr">
        <is>
          <t>VAT.VIEW</t>
        </is>
      </c>
      <c r="L3" s="16" t="inlineStr"/>
      <c r="M3" s="17" t="inlineStr">
        <is>
          <t>Not Run</t>
        </is>
      </c>
      <c r="N3" s="17" t="inlineStr"/>
      <c r="O3" s="16" t="inlineStr"/>
      <c r="P3" s="16" t="inlineStr"/>
      <c r="Q3" s="16" t="inlineStr"/>
    </row>
    <row r="4">
      <c r="A4" s="18" t="inlineStr">
        <is>
          <t>TAX-002</t>
        </is>
      </c>
      <c r="B4" s="19" t="inlineStr">
        <is>
          <t>VAT Returns</t>
        </is>
      </c>
      <c r="C4" s="19" t="inlineStr">
        <is>
          <t>VAT Returns list shows empty state when company has no returns</t>
        </is>
      </c>
      <c r="D4" s="8" t="inlineStr">
        <is>
          <t>Positive</t>
        </is>
      </c>
      <c r="E4" s="8" t="inlineStr">
        <is>
          <t>Medium</t>
        </is>
      </c>
      <c r="F4" s="19" t="inlineStr">
        <is>
          <t>Logged in as ORG_ADMIN. A second company exists with no VAT returns.</t>
        </is>
      </c>
      <c r="G4" s="19" t="inlineStr">
        <is>
          <t>1. Navigate to /admin/tax/vat-returns.
2. Use the company selector to switch to the company with no returns.
3. Observe the table area.</t>
        </is>
      </c>
      <c r="H4" s="19" t="inlineStr">
        <is>
          <t>Company with zero VAT returns.</t>
        </is>
      </c>
      <c r="I4" s="19" t="inlineStr">
        <is>
          <t>A distinct empty-state message is shown (not a spinner and not an error). No rows appear. Switching back to the populated company reloads the table with rows.</t>
        </is>
      </c>
      <c r="J4" s="19" t="inlineStr">
        <is>
          <t>/admin/tax/vat-returns</t>
        </is>
      </c>
      <c r="K4" s="19" t="inlineStr">
        <is>
          <t>VAT.VIEW</t>
        </is>
      </c>
      <c r="L4" s="19" t="inlineStr"/>
      <c r="M4" s="8" t="inlineStr">
        <is>
          <t>Not Run</t>
        </is>
      </c>
      <c r="N4" s="8" t="inlineStr"/>
      <c r="O4" s="19" t="inlineStr"/>
      <c r="P4" s="19" t="inlineStr"/>
      <c r="Q4" s="19" t="inlineStr"/>
    </row>
    <row r="5">
      <c r="A5" s="15" t="inlineStr">
        <is>
          <t>TAX-003</t>
        </is>
      </c>
      <c r="B5" s="16" t="inlineStr">
        <is>
          <t>VAT Returns</t>
        </is>
      </c>
      <c r="C5" s="16" t="inlineStr">
        <is>
          <t>VAT Returns list forbidden for user without VAT.VIEW permission</t>
        </is>
      </c>
      <c r="D5" s="17" t="inlineStr">
        <is>
          <t>Permission</t>
        </is>
      </c>
      <c r="E5" s="17" t="inlineStr">
        <is>
          <t>High</t>
        </is>
      </c>
      <c r="F5" s="16" t="inlineStr">
        <is>
          <t>A user exists with NO permissions assigned. Navigate to /admin/tax/vat-returns as that user.</t>
        </is>
      </c>
      <c r="G5" s="16" t="inlineStr">
        <is>
          <t>1. Log in as a user with no permissions.
2. Inspect the sidebar — confirm the Tax &gt; VAT Returns nav item is not shown.
3. Attempt to navigate directly to /admin/tax/vat-returns.</t>
        </is>
      </c>
      <c r="H5" s="16" t="inlineStr">
        <is>
          <t>No-permission user account.</t>
        </is>
      </c>
      <c r="I5" s="16" t="inlineStr">
        <is>
          <t>The VAT Returns nav item is hidden. Direct navigation is blocked by the requirePermission guard and the user sees a forbidden/redirect state. The API GET /api/v1/vat/returns returns 403.</t>
        </is>
      </c>
      <c r="J5" s="16" t="inlineStr">
        <is>
          <t>/admin/tax/vat-returns</t>
        </is>
      </c>
      <c r="K5" s="16" t="inlineStr">
        <is>
          <t>VAT.VIEW</t>
        </is>
      </c>
      <c r="L5" s="16" t="inlineStr"/>
      <c r="M5" s="17" t="inlineStr">
        <is>
          <t>Not Run</t>
        </is>
      </c>
      <c r="N5" s="17" t="inlineStr"/>
      <c r="O5" s="16" t="inlineStr"/>
      <c r="P5" s="16" t="inlineStr"/>
      <c r="Q5" s="16" t="inlineStr"/>
    </row>
    <row r="6">
      <c r="A6" s="18" t="inlineStr">
        <is>
          <t>TAX-004</t>
        </is>
      </c>
      <c r="B6" s="19" t="inlineStr">
        <is>
          <t>VAT Returns</t>
        </is>
      </c>
      <c r="C6" s="19" t="inlineStr">
        <is>
          <t>Open a new DRAFT VAT return for a company with no prior return (opening credit = 0)</t>
        </is>
      </c>
      <c r="D6" s="8" t="inlineStr">
        <is>
          <t>Positive</t>
        </is>
      </c>
      <c r="E6" s="8" t="inlineStr">
        <is>
          <t>High</t>
        </is>
      </c>
      <c r="F6" s="19" t="inlineStr">
        <is>
          <t>Logged in as ORG_ADMIN (has VAT.RETURN.PREPARE). No existing return for the selected company and period. Company has no prior FILED return.</t>
        </is>
      </c>
      <c r="G6" s="19" t="inlineStr">
        <is>
          <t>1. Navigate to /admin/tax/vat-returns.
2. Click New VAT Return.
3. Enter Year = 2026, select Month = March.
4. Submit.</t>
        </is>
      </c>
      <c r="H6" s="19" t="inlineStr">
        <is>
          <t>Year: 2026, Month: 3 (March). Company: Acme Trading Ltd.</t>
        </is>
      </c>
      <c r="I6" s="19" t="inlineStr">
        <is>
          <t>HTTP 201. New DRAFT return created with returnNumber, periodStart 2026-03-01, periodEnd 2026-03-31, dueDate 2026-04-20, openingCredit = 0.00. UI navigates to the detail screen showing a success toast with the return number. No raw UID appears as visible text.</t>
        </is>
      </c>
      <c r="J6" s="19" t="inlineStr">
        <is>
          <t>/admin/tax/vat-returns</t>
        </is>
      </c>
      <c r="K6" s="19" t="inlineStr">
        <is>
          <t>VAT.RETURN.PREPARE</t>
        </is>
      </c>
      <c r="L6" s="19" t="inlineStr"/>
      <c r="M6" s="8" t="inlineStr">
        <is>
          <t>Not Run</t>
        </is>
      </c>
      <c r="N6" s="8" t="inlineStr"/>
      <c r="O6" s="19" t="inlineStr"/>
      <c r="P6" s="19" t="inlineStr"/>
      <c r="Q6" s="19" t="inlineStr"/>
    </row>
    <row r="7">
      <c r="A7" s="15" t="inlineStr">
        <is>
          <t>TAX-005</t>
        </is>
      </c>
      <c r="B7" s="16" t="inlineStr">
        <is>
          <t>VAT Returns</t>
        </is>
      </c>
      <c r="C7" s="16" t="inlineStr">
        <is>
          <t>Opening credit carries forward from prior FILED return</t>
        </is>
      </c>
      <c r="D7" s="17" t="inlineStr">
        <is>
          <t>Positive</t>
        </is>
      </c>
      <c r="E7" s="17" t="inlineStr">
        <is>
          <t>High</t>
        </is>
      </c>
      <c r="F7" s="16" t="inlineStr">
        <is>
          <t>A prior return for period 2026-02 is FILED with closingCredit = 50000.00. Logged in as ORG_ADMIN.</t>
        </is>
      </c>
      <c r="G7" s="16" t="inlineStr">
        <is>
          <t>1. Open a new VAT return for period 2026-03.
2. Navigate to the detail of the new return.
3. Read the Opening Credit b/f field.</t>
        </is>
      </c>
      <c r="H7" s="16" t="inlineStr">
        <is>
          <t>Prior FILED period 2026-02 closingCredit: 50000.00.</t>
        </is>
      </c>
      <c r="I7" s="16" t="inlineStr">
        <is>
          <t>New return shows openingCredit = 50000.00 and priorReturnId points to the FILED Feb return. Net VAT reflects the subtraction of the opening credit. Only a FILED prior return is used — a DRAFT prior return does not contribute.</t>
        </is>
      </c>
      <c r="J7" s="16" t="inlineStr">
        <is>
          <t>/admin/tax/vat-returns</t>
        </is>
      </c>
      <c r="K7" s="16" t="inlineStr">
        <is>
          <t>VAT.RETURN.PREPARE</t>
        </is>
      </c>
      <c r="L7" s="16" t="inlineStr"/>
      <c r="M7" s="17" t="inlineStr">
        <is>
          <t>Not Run</t>
        </is>
      </c>
      <c r="N7" s="17" t="inlineStr"/>
      <c r="O7" s="16" t="inlineStr"/>
      <c r="P7" s="16" t="inlineStr"/>
      <c r="Q7" s="16" t="inlineStr"/>
    </row>
    <row r="8">
      <c r="A8" s="18" t="inlineStr">
        <is>
          <t>TAX-006</t>
        </is>
      </c>
      <c r="B8" s="19" t="inlineStr">
        <is>
          <t>VAT Returns</t>
        </is>
      </c>
      <c r="C8" s="19" t="inlineStr">
        <is>
          <t>Duplicate period rejected with 409 (BR-VAT-01)</t>
        </is>
      </c>
      <c r="D8" s="8" t="inlineStr">
        <is>
          <t>Negative</t>
        </is>
      </c>
      <c r="E8" s="8" t="inlineStr">
        <is>
          <t>High</t>
        </is>
      </c>
      <c r="F8" s="19" t="inlineStr">
        <is>
          <t>A VAT return already exists for the company and period 2026-03. Logged in as ORG_ADMIN.</t>
        </is>
      </c>
      <c r="G8" s="19" t="inlineStr">
        <is>
          <t>1. Navigate to /admin/tax/vat-returns.
2. Click New VAT Return.
3. Enter Year 2026, Month March.
4. Submit.</t>
        </is>
      </c>
      <c r="H8" s="19" t="inlineStr">
        <is>
          <t>Year: 2026, Month: 3. A return for this period already exists.</t>
        </is>
      </c>
      <c r="I8" s="19" t="inlineStr">
        <is>
          <t>409 ConflictException. The UI shows an inline error from errors[0]: 'A VAT return already exists for company ... period 2026-03 (BR-VAT-01).' No second return is created. Same month for a different company would succeed.</t>
        </is>
      </c>
      <c r="J8" s="19" t="inlineStr">
        <is>
          <t>/admin/tax/vat-returns</t>
        </is>
      </c>
      <c r="K8" s="19" t="inlineStr">
        <is>
          <t>VAT.RETURN.PREPARE</t>
        </is>
      </c>
      <c r="L8" s="19" t="inlineStr"/>
      <c r="M8" s="8" t="inlineStr">
        <is>
          <t>Not Run</t>
        </is>
      </c>
      <c r="N8" s="8" t="inlineStr"/>
      <c r="O8" s="19" t="inlineStr"/>
      <c r="P8" s="19" t="inlineStr"/>
      <c r="Q8" s="19" t="inlineStr"/>
    </row>
    <row r="9">
      <c r="A9" s="15" t="inlineStr">
        <is>
          <t>TAX-007</t>
        </is>
      </c>
      <c r="B9" s="16" t="inlineStr">
        <is>
          <t>VAT Returns</t>
        </is>
      </c>
      <c r="C9" s="16" t="inlineStr">
        <is>
          <t>VAT Return detail renders bands, summary, and net Payable label (output &gt; input)</t>
        </is>
      </c>
      <c r="D9" s="17" t="inlineStr">
        <is>
          <t>Positive</t>
        </is>
      </c>
      <c r="E9" s="17" t="inlineStr">
        <is>
          <t>High</t>
        </is>
      </c>
      <c r="F9" s="16" t="inlineStr">
        <is>
          <t>A DRAFT return exists for the company with outputVat = 180000.00, inputVat = 80000.00, adjustments = 0, openingCredit = 0. Logged in as ORG_ADMIN.</t>
        </is>
      </c>
      <c r="G9" s="16" t="inlineStr">
        <is>
          <t>1. Navigate to /admin/tax/vat-returns.
2. Click the DRAFT return row.
3. Read the Return Face card: band table, total output, total input, net row, net label.</t>
        </is>
      </c>
      <c r="H9" s="16" t="inlineStr">
        <is>
          <t>outputVat: 180000.00, inputVat: 80000.00.</t>
        </is>
      </c>
      <c r="I9" s="16" t="inlineStr">
        <is>
          <t>Band table shows at least one STANDARD row with taxable base and output VAT. Net = 180000 - 80000 = 100000.00. Net label reads 'Payable to TRA' with danger styling. Money formatted to 2 dp. No raw UID visible on screen.</t>
        </is>
      </c>
      <c r="J9" s="16" t="inlineStr">
        <is>
          <t>/admin/tax/vat-returns/uid/:uid</t>
        </is>
      </c>
      <c r="K9" s="16" t="inlineStr">
        <is>
          <t>VAT.VIEW</t>
        </is>
      </c>
      <c r="L9" s="16" t="inlineStr"/>
      <c r="M9" s="17" t="inlineStr">
        <is>
          <t>Not Run</t>
        </is>
      </c>
      <c r="N9" s="17" t="inlineStr"/>
      <c r="O9" s="16" t="inlineStr"/>
      <c r="P9" s="16" t="inlineStr"/>
      <c r="Q9" s="16" t="inlineStr"/>
    </row>
    <row r="10">
      <c r="A10" s="18" t="inlineStr">
        <is>
          <t>TAX-008</t>
        </is>
      </c>
      <c r="B10" s="19" t="inlineStr">
        <is>
          <t>VAT Returns</t>
        </is>
      </c>
      <c r="C10" s="19" t="inlineStr">
        <is>
          <t>VAT Return detail shows Credit carried forward label when input &gt; output</t>
        </is>
      </c>
      <c r="D10" s="8" t="inlineStr">
        <is>
          <t>Positive</t>
        </is>
      </c>
      <c r="E10" s="8" t="inlineStr">
        <is>
          <t>High</t>
        </is>
      </c>
      <c r="F10" s="19" t="inlineStr">
        <is>
          <t>A DRAFT return exists with outputVat = 40000.00, inputVat = 90000.00. Logged in as ORG_ADMIN.</t>
        </is>
      </c>
      <c r="G10" s="19" t="inlineStr">
        <is>
          <t>1. Open the DRAFT return detail.
2. Read the net row and the closing credit row.</t>
        </is>
      </c>
      <c r="H10" s="19" t="inlineStr">
        <is>
          <t>outputVat: 40000.00, inputVat: 90000.00.</t>
        </is>
      </c>
      <c r="I10" s="19" t="inlineStr">
        <is>
          <t>Net = -50000.00. Net label reads 'Credit carried forward' with success styling. A Closing Credit c/f row shows 50000.00. This closing credit becomes the next period's openingCredit only after this return is FILED.</t>
        </is>
      </c>
      <c r="J10" s="19" t="inlineStr">
        <is>
          <t>/admin/tax/vat-returns/uid/:uid</t>
        </is>
      </c>
      <c r="K10" s="19" t="inlineStr">
        <is>
          <t>VAT.VIEW</t>
        </is>
      </c>
      <c r="L10" s="19" t="inlineStr"/>
      <c r="M10" s="8" t="inlineStr">
        <is>
          <t>Not Run</t>
        </is>
      </c>
      <c r="N10" s="8" t="inlineStr"/>
      <c r="O10" s="19" t="inlineStr"/>
      <c r="P10" s="19" t="inlineStr"/>
      <c r="Q10" s="19" t="inlineStr"/>
    </row>
    <row r="11">
      <c r="A11" s="15" t="inlineStr">
        <is>
          <t>TAX-009</t>
        </is>
      </c>
      <c r="B11" s="16" t="inlineStr">
        <is>
          <t>VAT Returns</t>
        </is>
      </c>
      <c r="C11" s="16" t="inlineStr">
        <is>
          <t>Recompute a DRAFT VAT return updates bands and net</t>
        </is>
      </c>
      <c r="D11" s="17" t="inlineStr">
        <is>
          <t>Positive</t>
        </is>
      </c>
      <c r="E11" s="17" t="inlineStr">
        <is>
          <t>High</t>
        </is>
      </c>
      <c r="F11" s="16" t="inlineStr">
        <is>
          <t>A DRAFT return exists. New sales/purchase activity has been recorded since the last compute. Logged in as ORG_ADMIN (has VAT.RETURN.PREPARE).</t>
        </is>
      </c>
      <c r="G11" s="16" t="inlineStr">
        <is>
          <t>1. Open the DRAFT return detail.
2. Note the current outputVat and net figures.
3. Click Recompute.
4. Observe the updated figures.</t>
        </is>
      </c>
      <c r="H11" s="16" t="inlineStr">
        <is>
          <t>Any DRAFT return with additional transactions recorded after last compute.</t>
        </is>
      </c>
      <c r="I11" s="16" t="inlineStr">
        <is>
          <t>Bands deleted and re-inserted; totals refreshed; net and closingCredit recomputed. A success toast is shown. Updated figures display in place. The Recompute button is visible because the user holds VAT.RETURN.PREPARE.</t>
        </is>
      </c>
      <c r="J11" s="16" t="inlineStr">
        <is>
          <t>/admin/tax/vat-returns/uid/:uid</t>
        </is>
      </c>
      <c r="K11" s="16" t="inlineStr">
        <is>
          <t>VAT.RETURN.PREPARE</t>
        </is>
      </c>
      <c r="L11" s="16" t="inlineStr"/>
      <c r="M11" s="17" t="inlineStr">
        <is>
          <t>Not Run</t>
        </is>
      </c>
      <c r="N11" s="17" t="inlineStr"/>
      <c r="O11" s="16" t="inlineStr"/>
      <c r="P11" s="16" t="inlineStr"/>
      <c r="Q11" s="16" t="inlineStr"/>
    </row>
    <row r="12">
      <c r="A12" s="18" t="inlineStr">
        <is>
          <t>TAX-010</t>
        </is>
      </c>
      <c r="B12" s="19" t="inlineStr">
        <is>
          <t>VAT Returns</t>
        </is>
      </c>
      <c r="C12" s="19" t="inlineStr">
        <is>
          <t>Recompute blocked on a FILED return (BR-VAT-02)</t>
        </is>
      </c>
      <c r="D12" s="8" t="inlineStr">
        <is>
          <t>Negative</t>
        </is>
      </c>
      <c r="E12" s="8" t="inlineStr">
        <is>
          <t>High</t>
        </is>
      </c>
      <c r="F12" s="19" t="inlineStr">
        <is>
          <t>A FILED return exists. Logged in as ORG_ADMIN.</t>
        </is>
      </c>
      <c r="G12" s="19" t="inlineStr">
        <is>
          <t>1. Open a FILED return detail.
2. Confirm the Recompute button is not rendered (isDraft() is false).
3. Attempt POST /api/v1/vat/returns/uid/{uid}/recompute directly via API on the FILED return UID.</t>
        </is>
      </c>
      <c r="H12" s="19" t="inlineStr">
        <is>
          <t>A FILED VAT return.</t>
        </is>
      </c>
      <c r="I12" s="19" t="inlineStr">
        <is>
          <t>UI never shows the Recompute control on a FILED return. API call returns an error: 'Cannot recompute a FILED VAT return (BR-VAT-02).' No status change occurs.</t>
        </is>
      </c>
      <c r="J12" s="19" t="inlineStr">
        <is>
          <t>/admin/tax/vat-returns/uid/:uid</t>
        </is>
      </c>
      <c r="K12" s="19" t="inlineStr">
        <is>
          <t>VAT.RETURN.PREPARE</t>
        </is>
      </c>
      <c r="L12" s="19" t="inlineStr"/>
      <c r="M12" s="8" t="inlineStr">
        <is>
          <t>Not Run</t>
        </is>
      </c>
      <c r="N12" s="8" t="inlineStr"/>
      <c r="O12" s="19" t="inlineStr"/>
      <c r="P12" s="19" t="inlineStr"/>
      <c r="Q12" s="19" t="inlineStr"/>
    </row>
    <row r="13">
      <c r="A13" s="15" t="inlineStr">
        <is>
          <t>TAX-011</t>
        </is>
      </c>
      <c r="B13" s="16" t="inlineStr">
        <is>
          <t>VAT Returns</t>
        </is>
      </c>
      <c r="C13" s="16" t="inlineStr">
        <is>
          <t>File a DRAFT return with net payable — GL settlement journal is posted</t>
        </is>
      </c>
      <c r="D13" s="17" t="inlineStr">
        <is>
          <t>Positive</t>
        </is>
      </c>
      <c r="E13" s="17" t="inlineStr">
        <is>
          <t>High</t>
        </is>
      </c>
      <c r="F13" s="16" t="inlineStr">
        <is>
          <t>A DRAFT return with outputVat = 180000.00 and inputVat = 80000.00. GL config has VAT_PAYABLE, VAT_INPUT, VAT_DUE mapped. Logged in as ORG_ADMIN (has VAT.RETURN.FILE).</t>
        </is>
      </c>
      <c r="G13" s="16" t="inlineStr">
        <is>
          <t>1. Open the DRAFT return detail.
2. Click File Return.
3. Enter Filing Reference: TRA/VAT/2026/001234.
4. Enter Filing Date: 2026-04-15.
5. Click Confirm File.</t>
        </is>
      </c>
      <c r="H13" s="16" t="inlineStr">
        <is>
          <t>filingReference: TRA/VAT/2026/001234, filingDate: 2026-04-15.</t>
        </is>
      </c>
      <c r="I13" s="16" t="inlineStr">
        <is>
          <t>Final recompute runs and figures freeze. Status changes to FILED. filingReference, filingDate, filedAt, filedBy are recorded. A balanced settlement journal is posted: DR VAT_PAYABLE 180000, CR VAT_INPUT 80000, CR VAT_DUE 100000. postedJournalUid is set and shown as a link to /admin/gl/journals/uid/:uid. All DRAFT actions (Recompute, File, Add Adjustment) disappear. Success toast shown.</t>
        </is>
      </c>
      <c r="J13" s="16" t="inlineStr">
        <is>
          <t>/admin/tax/vat-returns/uid/:uid</t>
        </is>
      </c>
      <c r="K13" s="16" t="inlineStr">
        <is>
          <t>VAT.RETURN.FILE</t>
        </is>
      </c>
      <c r="L13" s="16" t="inlineStr"/>
      <c r="M13" s="17" t="inlineStr">
        <is>
          <t>Not Run</t>
        </is>
      </c>
      <c r="N13" s="17" t="inlineStr"/>
      <c r="O13" s="16" t="inlineStr"/>
      <c r="P13" s="16" t="inlineStr"/>
      <c r="Q13" s="16" t="inlineStr"/>
    </row>
    <row r="14">
      <c r="A14" s="18" t="inlineStr">
        <is>
          <t>TAX-012</t>
        </is>
      </c>
      <c r="B14" s="19" t="inlineStr">
        <is>
          <t>VAT Returns</t>
        </is>
      </c>
      <c r="C14" s="19" t="inlineStr">
        <is>
          <t>Filing blocked while prior-period return is still DRAFT (D-4 ordering gate)</t>
        </is>
      </c>
      <c r="D14" s="8" t="inlineStr">
        <is>
          <t>Negative</t>
        </is>
      </c>
      <c r="E14" s="8" t="inlineStr">
        <is>
          <t>High</t>
        </is>
      </c>
      <c r="F14" s="19" t="inlineStr">
        <is>
          <t>Period 2026-02 is DRAFT. Period 2026-03 is also DRAFT. Logged in as ORG_ADMIN.</t>
        </is>
      </c>
      <c r="G14" s="19" t="inlineStr">
        <is>
          <t>1. Open the 2026-03 DRAFT return detail.
2. Click File Return.
3. Attempt to confirm filing.</t>
        </is>
      </c>
      <c r="H14" s="19" t="inlineStr">
        <is>
          <t>Two DRAFT returns: 2026-02 and 2026-03.</t>
        </is>
      </c>
      <c r="I14" s="19" t="inlineStr">
        <is>
          <t>Filing 2026-03 is rejected: 'Prior period return &lt;number&gt; must be FILED before this period can be filed (D-4).' Error surface in the File form. After filing 2026-02 first, filing 2026-03 succeeds. If no prior return exists the gate does not apply.</t>
        </is>
      </c>
      <c r="J14" s="19" t="inlineStr">
        <is>
          <t>/admin/tax/vat-returns/uid/:uid</t>
        </is>
      </c>
      <c r="K14" s="19" t="inlineStr">
        <is>
          <t>VAT.RETURN.FILE</t>
        </is>
      </c>
      <c r="L14" s="19" t="inlineStr"/>
      <c r="M14" s="8" t="inlineStr">
        <is>
          <t>Not Run</t>
        </is>
      </c>
      <c r="N14" s="8" t="inlineStr"/>
      <c r="O14" s="19" t="inlineStr"/>
      <c r="P14" s="19" t="inlineStr"/>
      <c r="Q14" s="19" t="inlineStr"/>
    </row>
    <row r="15">
      <c r="A15" s="15" t="inlineStr">
        <is>
          <t>TAX-013</t>
        </is>
      </c>
      <c r="B15" s="16" t="inlineStr">
        <is>
          <t>VAT Returns</t>
        </is>
      </c>
      <c r="C15" s="16" t="inlineStr">
        <is>
          <t>Re-filing an already-FILED return rejected (BR-VAT-11)</t>
        </is>
      </c>
      <c r="D15" s="17" t="inlineStr">
        <is>
          <t>Negative</t>
        </is>
      </c>
      <c r="E15" s="17" t="inlineStr">
        <is>
          <t>High</t>
        </is>
      </c>
      <c r="F15" s="16" t="inlineStr">
        <is>
          <t>A FILED return exists. Logged in as ORG_ADMIN.</t>
        </is>
      </c>
      <c r="G15" s="16" t="inlineStr">
        <is>
          <t>1. Open a FILED return.
2. Confirm the File Return control is not shown.
3. Attempt POST /api/v1/vat/returns/uid/{uid}/file directly via API.</t>
        </is>
      </c>
      <c r="H15" s="16" t="inlineStr">
        <is>
          <t>A FILED VAT return UID.</t>
        </is>
      </c>
      <c r="I15" s="16" t="inlineStr">
        <is>
          <t>UI shows no File Return control on a FILED return. API returns: 'VAT return already FILED (BR-VAT-11).' No state change. Return remains FILED.</t>
        </is>
      </c>
      <c r="J15" s="16" t="inlineStr">
        <is>
          <t>/admin/tax/vat-returns/uid/:uid</t>
        </is>
      </c>
      <c r="K15" s="16" t="inlineStr">
        <is>
          <t>VAT.RETURN.FILE</t>
        </is>
      </c>
      <c r="L15" s="16" t="inlineStr"/>
      <c r="M15" s="17" t="inlineStr">
        <is>
          <t>Not Run</t>
        </is>
      </c>
      <c r="N15" s="17" t="inlineStr"/>
      <c r="O15" s="16" t="inlineStr"/>
      <c r="P15" s="16" t="inlineStr"/>
      <c r="Q15" s="16" t="inlineStr"/>
    </row>
    <row r="16">
      <c r="A16" s="18" t="inlineStr">
        <is>
          <t>TAX-014</t>
        </is>
      </c>
      <c r="B16" s="19" t="inlineStr">
        <is>
          <t>VAT Returns</t>
        </is>
      </c>
      <c r="C16" s="19" t="inlineStr">
        <is>
          <t>Nil-activity return (output = input = 0) files without posting a GL journal</t>
        </is>
      </c>
      <c r="D16" s="8" t="inlineStr">
        <is>
          <t>Edge</t>
        </is>
      </c>
      <c r="E16" s="8" t="inlineStr">
        <is>
          <t>Medium</t>
        </is>
      </c>
      <c r="F16" s="19" t="inlineStr">
        <is>
          <t>A period with no sales or purchases so both outputVat = 0 and inputVat = 0. Logged in as ORG_ADMIN.</t>
        </is>
      </c>
      <c r="G16" s="19" t="inlineStr">
        <is>
          <t>1. Open the nil-activity DRAFT return.
2. Confirm net label is Nil and no closing credit row.
3. File the return with a filing reference and date.</t>
        </is>
      </c>
      <c r="H16" s="19" t="inlineStr">
        <is>
          <t>outputVat: 0.00, inputVat: 0.00.</t>
        </is>
      </c>
      <c r="I16" s="19" t="inlineStr">
        <is>
          <t>Return files to FILED status. postedJournalUid is null (no GL journal per D-8). The posted journal link is absent on the detail screen. Status badge shows FILED.</t>
        </is>
      </c>
      <c r="J16" s="19" t="inlineStr">
        <is>
          <t>/admin/tax/vat-returns/uid/:uid</t>
        </is>
      </c>
      <c r="K16" s="19" t="inlineStr">
        <is>
          <t>VAT.RETURN.FILE</t>
        </is>
      </c>
      <c r="L16" s="19" t="inlineStr"/>
      <c r="M16" s="8" t="inlineStr">
        <is>
          <t>Not Run</t>
        </is>
      </c>
      <c r="N16" s="8" t="inlineStr"/>
      <c r="O16" s="19" t="inlineStr"/>
      <c r="P16" s="19" t="inlineStr"/>
      <c r="Q16" s="19" t="inlineStr"/>
    </row>
    <row r="17">
      <c r="A17" s="15" t="inlineStr">
        <is>
          <t>TAX-015</t>
        </is>
      </c>
      <c r="B17" s="16" t="inlineStr">
        <is>
          <t>VAT Adjustments</t>
        </is>
      </c>
      <c r="C17" s="16" t="inlineStr">
        <is>
          <t>Add an INCREASE adjustment to a DRAFT return and see net increase</t>
        </is>
      </c>
      <c r="D17" s="17" t="inlineStr">
        <is>
          <t>Positive</t>
        </is>
      </c>
      <c r="E17" s="17" t="inlineStr">
        <is>
          <t>High</t>
        </is>
      </c>
      <c r="F17" s="16" t="inlineStr">
        <is>
          <t>A DRAFT return with known net (e.g. 100000.00). Logged in as ORG_ADMIN (has VAT.ADJUST).</t>
        </is>
      </c>
      <c r="G17" s="16" t="inlineStr">
        <is>
          <t>1. Open the DRAFT return detail.
2. Click Add Adjustment.
3. Select Reason: Prior Period Correction.
4. Select Effect: Increase VAT.
5. Enter Amount: 5000.
6. Enter Narrative: Q1 under-declaration.
7. Submit.</t>
        </is>
      </c>
      <c r="H17" s="16" t="inlineStr">
        <is>
          <t>reason: PRIOR_PERIOD_CORRECTION, sign: INCREASE, amount: 5000.00.</t>
        </is>
      </c>
      <c r="I17" s="16" t="inlineStr">
        <is>
          <t>HTTP 201. Adjustment row appears showing reason label, INCREASE badge (danger), amount 5000.00, and narrative. adjustmentsTotal increases by 5000 and net becomes 105000.00. The effect dropdown offers exactly INCREASE and DECREASE options.</t>
        </is>
      </c>
      <c r="J17" s="16" t="inlineStr">
        <is>
          <t>/admin/tax/vat-returns/uid/:uid</t>
        </is>
      </c>
      <c r="K17" s="16" t="inlineStr">
        <is>
          <t>VAT.ADJUST</t>
        </is>
      </c>
      <c r="L17" s="16" t="inlineStr"/>
      <c r="M17" s="17" t="inlineStr">
        <is>
          <t>Not Run</t>
        </is>
      </c>
      <c r="N17" s="17" t="inlineStr"/>
      <c r="O17" s="16" t="inlineStr"/>
      <c r="P17" s="16" t="inlineStr"/>
      <c r="Q17" s="16" t="inlineStr"/>
    </row>
    <row r="18">
      <c r="A18" s="18" t="inlineStr">
        <is>
          <t>TAX-016</t>
        </is>
      </c>
      <c r="B18" s="19" t="inlineStr">
        <is>
          <t>VAT Adjustments</t>
        </is>
      </c>
      <c r="C18" s="19" t="inlineStr">
        <is>
          <t>Add a DECREASE adjustment (Bad Debt Relief) and see net decrease</t>
        </is>
      </c>
      <c r="D18" s="8" t="inlineStr">
        <is>
          <t>Positive</t>
        </is>
      </c>
      <c r="E18" s="8" t="inlineStr">
        <is>
          <t>High</t>
        </is>
      </c>
      <c r="F18" s="19" t="inlineStr">
        <is>
          <t>A DRAFT return with net 100000.00. Logged in as ORG_ADMIN.</t>
        </is>
      </c>
      <c r="G18" s="19" t="inlineStr">
        <is>
          <t>1. Open the DRAFT return detail.
2. Click Add Adjustment.
3. Reason: Bad Debt Relief, Effect: Decrease VAT, Amount: 8000.
4. Submit.</t>
        </is>
      </c>
      <c r="H18" s="19" t="inlineStr">
        <is>
          <t>reason: BAD_DEBT_RELIEF, sign: DECREASE, amount: 8000.00.</t>
        </is>
      </c>
      <c r="I18" s="19" t="inlineStr">
        <is>
          <t>DECREASE badge shown in success colour. adjustmentsTotal decreases by 8000 (signed -8000). Net = 92000.00. Reason dropdown offers exactly five options: Bad Debt Relief, Prior Period Correction, Credit Note VAT, Debit Note VAT, Other.</t>
        </is>
      </c>
      <c r="J18" s="19" t="inlineStr">
        <is>
          <t>/admin/tax/vat-returns/uid/:uid</t>
        </is>
      </c>
      <c r="K18" s="19" t="inlineStr">
        <is>
          <t>VAT.ADJUST</t>
        </is>
      </c>
      <c r="L18" s="19" t="inlineStr"/>
      <c r="M18" s="8" t="inlineStr">
        <is>
          <t>Not Run</t>
        </is>
      </c>
      <c r="N18" s="8" t="inlineStr"/>
      <c r="O18" s="19" t="inlineStr"/>
      <c r="P18" s="19" t="inlineStr"/>
      <c r="Q18" s="19" t="inlineStr"/>
    </row>
    <row r="19">
      <c r="A19" s="15" t="inlineStr">
        <is>
          <t>TAX-017</t>
        </is>
      </c>
      <c r="B19" s="16" t="inlineStr">
        <is>
          <t>VAT Adjustments</t>
        </is>
      </c>
      <c r="C19" s="16" t="inlineStr">
        <is>
          <t>Adjustment amount must be positive — zero and negative rejected</t>
        </is>
      </c>
      <c r="D19" s="17" t="inlineStr">
        <is>
          <t>Negative</t>
        </is>
      </c>
      <c r="E19" s="17" t="inlineStr">
        <is>
          <t>Medium</t>
        </is>
      </c>
      <c r="F19" s="16" t="inlineStr">
        <is>
          <t>A DRAFT return. Logged in as ORG_ADMIN.</t>
        </is>
      </c>
      <c r="G19" s="16" t="inlineStr">
        <is>
          <t>1. Open Add Adjustment.
2. Enter Amount = 0, submit.
3. Enter Amount = -10, submit.
4. Bypass client and POST directly with amount -10.</t>
        </is>
      </c>
      <c r="H19" s="16" t="inlineStr">
        <is>
          <t>amount: 0, amount: -10.</t>
        </is>
      </c>
      <c r="I19" s="16" t="inlineStr">
        <is>
          <t>Client blocks: 'Enter a positive amount.' Server @Positive BigDecimal amount returns 400 with envelope errors if bypassed. Sign is carried via VatAdjustmentSign enum so the magnitude is always positive.</t>
        </is>
      </c>
      <c r="J19" s="16" t="inlineStr">
        <is>
          <t>/admin/tax/vat-returns/uid/:uid</t>
        </is>
      </c>
      <c r="K19" s="16" t="inlineStr">
        <is>
          <t>VAT.ADJUST</t>
        </is>
      </c>
      <c r="L19" s="16" t="inlineStr"/>
      <c r="M19" s="17" t="inlineStr">
        <is>
          <t>Not Run</t>
        </is>
      </c>
      <c r="N19" s="17" t="inlineStr"/>
      <c r="O19" s="16" t="inlineStr"/>
      <c r="P19" s="16" t="inlineStr"/>
      <c r="Q19" s="16" t="inlineStr"/>
    </row>
    <row r="20">
      <c r="A20" s="18" t="inlineStr">
        <is>
          <t>TAX-018</t>
        </is>
      </c>
      <c r="B20" s="19" t="inlineStr">
        <is>
          <t>VAT Adjustments</t>
        </is>
      </c>
      <c r="C20" s="19" t="inlineStr">
        <is>
          <t>Remove an adjustment from a DRAFT return reverts the net</t>
        </is>
      </c>
      <c r="D20" s="8" t="inlineStr">
        <is>
          <t>Positive</t>
        </is>
      </c>
      <c r="E20" s="8" t="inlineStr">
        <is>
          <t>High</t>
        </is>
      </c>
      <c r="F20" s="19" t="inlineStr">
        <is>
          <t>A DRAFT return with one INCREASE adjustment of 5000.00. Logged in as ORG_ADMIN.</t>
        </is>
      </c>
      <c r="G20" s="19" t="inlineStr">
        <is>
          <t>1. Open the DRAFT return detail.
2. Click the Remove (trash) button on the adjustment row.
3. Observe the updated net.</t>
        </is>
      </c>
      <c r="H20" s="19" t="inlineStr">
        <is>
          <t>Adjustment amount: 5000.00 INCREASE.</t>
        </is>
      </c>
      <c r="I20" s="19" t="inlineStr">
        <is>
          <t>HTTP 204. The row disappears. adjustmentsTotal reverts (drops by 5000). Net recomputed without the adjustment. Remove button has aria-label 'Remove adjustment &lt;reason&gt;'.</t>
        </is>
      </c>
      <c r="J20" s="19" t="inlineStr">
        <is>
          <t>/admin/tax/vat-returns/uid/:uid</t>
        </is>
      </c>
      <c r="K20" s="19" t="inlineStr">
        <is>
          <t>VAT.ADJUST</t>
        </is>
      </c>
      <c r="L20" s="19" t="inlineStr"/>
      <c r="M20" s="8" t="inlineStr">
        <is>
          <t>Not Run</t>
        </is>
      </c>
      <c r="N20" s="8" t="inlineStr"/>
      <c r="O20" s="19" t="inlineStr"/>
      <c r="P20" s="19" t="inlineStr"/>
      <c r="Q20" s="19" t="inlineStr"/>
    </row>
    <row r="21">
      <c r="A21" s="15" t="inlineStr">
        <is>
          <t>TAX-019</t>
        </is>
      </c>
      <c r="B21" s="16" t="inlineStr">
        <is>
          <t>VAT Adjustments</t>
        </is>
      </c>
      <c r="C21" s="16" t="inlineStr">
        <is>
          <t>Add/remove adjustment blocked on a FILED return (BR-VAT-09)</t>
        </is>
      </c>
      <c r="D21" s="17" t="inlineStr">
        <is>
          <t>Negative</t>
        </is>
      </c>
      <c r="E21" s="17" t="inlineStr">
        <is>
          <t>High</t>
        </is>
      </c>
      <c r="F21" s="16" t="inlineStr">
        <is>
          <t>A FILED return with an existing adjustment. Logged in as ORG_ADMIN.</t>
        </is>
      </c>
      <c r="G21" s="16" t="inlineStr">
        <is>
          <t>1. Open the FILED return.
2. Confirm no Add Adjustment or Remove controls are shown.
3. Attempt POST /api/v1/vat/returns/uid/{returnUid}/adjustments via API.
4. Attempt DELETE .../adjustments/uid/{uid} via API.</t>
        </is>
      </c>
      <c r="H21" s="16" t="inlineStr">
        <is>
          <t>A FILED VAT return with one adjustment.</t>
        </is>
      </c>
      <c r="I21" s="16" t="inlineStr">
        <is>
          <t>UI shows no Add/Remove controls on a FILED return. POST returns: 'Cannot add adjustment to a FILED VAT return (BR-VAT-09).' DELETE returns: 'Cannot remove adjustment from a FILED VAT return (BR-VAT-09).' Reading adjustments (GET) still works with VAT.VIEW.</t>
        </is>
      </c>
      <c r="J21" s="16" t="inlineStr">
        <is>
          <t>/admin/tax/vat-returns/uid/:uid</t>
        </is>
      </c>
      <c r="K21" s="16" t="inlineStr">
        <is>
          <t>VAT.ADJUST</t>
        </is>
      </c>
      <c r="L21" s="16" t="inlineStr"/>
      <c r="M21" s="17" t="inlineStr">
        <is>
          <t>Not Run</t>
        </is>
      </c>
      <c r="N21" s="17" t="inlineStr"/>
      <c r="O21" s="16" t="inlineStr"/>
      <c r="P21" s="16" t="inlineStr"/>
      <c r="Q21" s="16" t="inlineStr"/>
    </row>
    <row r="22">
      <c r="A22" s="18" t="inlineStr">
        <is>
          <t>TAX-020</t>
        </is>
      </c>
      <c r="B22" s="19" t="inlineStr">
        <is>
          <t>WHT Types</t>
        </is>
      </c>
      <c r="C22" s="19" t="inlineStr">
        <is>
          <t>WHT Types list loads with code, name, kind badge, rate, and active flag</t>
        </is>
      </c>
      <c r="D22" s="8" t="inlineStr">
        <is>
          <t>Positive</t>
        </is>
      </c>
      <c r="E22" s="8" t="inlineStr">
        <is>
          <t>High</t>
        </is>
      </c>
      <c r="F22" s="19" t="inlineStr">
        <is>
          <t>Logged in as ORG_ADMIN (has WHT.VIEW). At least one WHT type exists for the company.</t>
        </is>
      </c>
      <c r="G22" s="19" t="inlineStr">
        <is>
          <t>1. Navigate to /admin/tax/wht-types.
2. Observe loading then the table.</t>
        </is>
      </c>
      <c r="H22" s="19" t="inlineStr">
        <is>
          <t>At least one WHT type with kind WHT_ON_PAYMENT.</t>
        </is>
      </c>
      <c r="I22" s="19" t="inlineStr">
        <is>
          <t>Table lists each type with code, name, kind badge ('On Payment' or 'On Receipt'), rate as percentage to 2 dp, and active flag. No raw UID in any cell. Nav item visible for WHT.VIEW holders; hidden for users without this permission.</t>
        </is>
      </c>
      <c r="J22" s="19" t="inlineStr">
        <is>
          <t>/admin/tax/wht-types</t>
        </is>
      </c>
      <c r="K22" s="19" t="inlineStr">
        <is>
          <t>WHT.VIEW</t>
        </is>
      </c>
      <c r="L22" s="19" t="inlineStr"/>
      <c r="M22" s="8" t="inlineStr">
        <is>
          <t>Not Run</t>
        </is>
      </c>
      <c r="N22" s="8" t="inlineStr"/>
      <c r="O22" s="19" t="inlineStr"/>
      <c r="P22" s="19" t="inlineStr"/>
      <c r="Q22" s="19" t="inlineStr"/>
    </row>
    <row r="23">
      <c r="A23" s="15" t="inlineStr">
        <is>
          <t>TAX-021</t>
        </is>
      </c>
      <c r="B23" s="16" t="inlineStr">
        <is>
          <t>WHT Types</t>
        </is>
      </c>
      <c r="C23" s="16" t="inlineStr">
        <is>
          <t>Create WHT type (WHT_ON_PAYMENT kind) — happy path</t>
        </is>
      </c>
      <c r="D23" s="17" t="inlineStr">
        <is>
          <t>Positive</t>
        </is>
      </c>
      <c r="E23" s="17" t="inlineStr">
        <is>
          <t>High</t>
        </is>
      </c>
      <c r="F23" s="16" t="inlineStr">
        <is>
          <t>Logged in as ORG_ADMIN (has WHT.MANAGE). Code WHT-SERV not already used for this company.</t>
        </is>
      </c>
      <c r="G23" s="16" t="inlineStr">
        <is>
          <t>1. On /admin/tax/wht-types, click New WHT Type.
2. Enter Code: WHT-SERV, Name: Service fees (resident), Kind: On Payment, Rate: 5.
3. Submit.</t>
        </is>
      </c>
      <c r="H23" s="16" t="inlineStr">
        <is>
          <t>code: WHT-SERV, name: Service fees (resident), kind: WHT_ON_PAYMENT, ratePct: 5.</t>
        </is>
      </c>
      <c r="I23" s="16" t="inlineStr">
        <is>
          <t>HTTP 201. Row added to the list showing the code, name, kind badge 'On Payment', rate 5.00%. Success toast shown. Kind is fixed at create and cannot be changed by update.</t>
        </is>
      </c>
      <c r="J23" s="16" t="inlineStr">
        <is>
          <t>/admin/tax/wht-types</t>
        </is>
      </c>
      <c r="K23" s="16" t="inlineStr">
        <is>
          <t>WHT.MANAGE</t>
        </is>
      </c>
      <c r="L23" s="16" t="inlineStr"/>
      <c r="M23" s="17" t="inlineStr">
        <is>
          <t>Not Run</t>
        </is>
      </c>
      <c r="N23" s="17" t="inlineStr"/>
      <c r="O23" s="16" t="inlineStr"/>
      <c r="P23" s="16" t="inlineStr"/>
      <c r="Q23" s="16" t="inlineStr"/>
    </row>
    <row r="24">
      <c r="A24" s="18" t="inlineStr">
        <is>
          <t>TAX-022</t>
        </is>
      </c>
      <c r="B24" s="19" t="inlineStr">
        <is>
          <t>WHT Types</t>
        </is>
      </c>
      <c r="C24" s="19" t="inlineStr">
        <is>
          <t>Create WHT type — duplicate code rejected (409) per company</t>
        </is>
      </c>
      <c r="D24" s="8" t="inlineStr">
        <is>
          <t>Negative</t>
        </is>
      </c>
      <c r="E24" s="8" t="inlineStr">
        <is>
          <t>High</t>
        </is>
      </c>
      <c r="F24" s="19" t="inlineStr">
        <is>
          <t>Code WHT-SERV already exists for this company. Logged in as ORG_ADMIN.</t>
        </is>
      </c>
      <c r="G24" s="19" t="inlineStr">
        <is>
          <t>1. Click New WHT Type.
2. Enter Code: WHT-SERV, Name: Another service, Kind: On Payment, Rate: 3.
3. Submit.</t>
        </is>
      </c>
      <c r="H24" s="19" t="inlineStr">
        <is>
          <t>code: WHT-SERV (already exists).</t>
        </is>
      </c>
      <c r="I24" s="19" t="inlineStr">
        <is>
          <t>409 ConflictException: 'WHT type code WHT-SERV already exists for this company.' Inline form error displayed. Same code in a different company would succeed (uniqueness is per company).</t>
        </is>
      </c>
      <c r="J24" s="19" t="inlineStr">
        <is>
          <t>/admin/tax/wht-types</t>
        </is>
      </c>
      <c r="K24" s="19" t="inlineStr">
        <is>
          <t>WHT.MANAGE</t>
        </is>
      </c>
      <c r="L24" s="19" t="inlineStr"/>
      <c r="M24" s="8" t="inlineStr">
        <is>
          <t>Not Run</t>
        </is>
      </c>
      <c r="N24" s="8" t="inlineStr"/>
      <c r="O24" s="19" t="inlineStr"/>
      <c r="P24" s="19" t="inlineStr"/>
      <c r="Q24" s="19" t="inlineStr"/>
    </row>
    <row r="25">
      <c r="A25" s="15" t="inlineStr">
        <is>
          <t>TAX-023</t>
        </is>
      </c>
      <c r="B25" s="16" t="inlineStr">
        <is>
          <t>WHT Types</t>
        </is>
      </c>
      <c r="C25" s="16" t="inlineStr">
        <is>
          <t>WHT type rate entered as a percentage — zero is valid, negative is rejected</t>
        </is>
      </c>
      <c r="D25" s="17" t="inlineStr">
        <is>
          <t>Negative</t>
        </is>
      </c>
      <c r="E25" s="17" t="inlineStr">
        <is>
          <t>Medium</t>
        </is>
      </c>
      <c r="F25" s="16" t="inlineStr">
        <is>
          <t>Logged in as ORG_ADMIN.</t>
        </is>
      </c>
      <c r="G25" s="16" t="inlineStr">
        <is>
          <t>1. Open New WHT Type form.
2. Enter Rate = -1, submit.
3. Then enter Rate = 0, submit.</t>
        </is>
      </c>
      <c r="H25" s="16" t="inlineStr">
        <is>
          <t>ratePct: -1 (invalid), ratePct: 0 (valid).</t>
        </is>
      </c>
      <c r="I25" s="16" t="inlineStr">
        <is>
          <t>Rate -1: client blocks 'Enter a valid rate (0 or greater).' Server @Min(0) ratePct rejects if bypassed. Rate 0 is accepted (a zero-rate WHT type is valid). Rate field represents a percentage value — e.g., entering 5 means 5%.</t>
        </is>
      </c>
      <c r="J25" s="16" t="inlineStr">
        <is>
          <t>/admin/tax/wht-types</t>
        </is>
      </c>
      <c r="K25" s="16" t="inlineStr">
        <is>
          <t>WHT.MANAGE</t>
        </is>
      </c>
      <c r="L25" s="16" t="inlineStr"/>
      <c r="M25" s="17" t="inlineStr">
        <is>
          <t>Not Run</t>
        </is>
      </c>
      <c r="N25" s="17" t="inlineStr"/>
      <c r="O25" s="16" t="inlineStr"/>
      <c r="P25" s="16" t="inlineStr"/>
      <c r="Q25" s="16" t="inlineStr"/>
    </row>
    <row r="26">
      <c r="A26" s="18" t="inlineStr">
        <is>
          <t>TAX-024</t>
        </is>
      </c>
      <c r="B26" s="19" t="inlineStr">
        <is>
          <t>WHT Types</t>
        </is>
      </c>
      <c r="C26" s="19" t="inlineStr">
        <is>
          <t>Edit WHT type name, rate, and active — code and kind remain immutable</t>
        </is>
      </c>
      <c r="D26" s="8" t="inlineStr">
        <is>
          <t>Positive</t>
        </is>
      </c>
      <c r="E26" s="8" t="inlineStr">
        <is>
          <t>High</t>
        </is>
      </c>
      <c r="F26" s="19" t="inlineStr">
        <is>
          <t>An existing WHT type WHT-SERV. Logged in as ORG_ADMIN (has WHT.MANAGE).</t>
        </is>
      </c>
      <c r="G26" s="19" t="inlineStr">
        <is>
          <t>1. Click edit on the WHT-SERV row.
2. Change Name to: Service fees (revised).
3. Change Rate to: 7.5.
4. Toggle Active to true.
5. Save.</t>
        </is>
      </c>
      <c r="H26" s="19" t="inlineStr">
        <is>
          <t>name: Service fees (revised), ratePct: 7.5, active: true.</t>
        </is>
      </c>
      <c r="I26" s="19" t="inlineStr">
        <is>
          <t>Row updates in place. Success toast. Code and kind are not editable (UpdateWhtTypeRequest has no code or kind field). Validation: blank name or negative rate rejected.</t>
        </is>
      </c>
      <c r="J26" s="19" t="inlineStr">
        <is>
          <t>/admin/tax/wht-types</t>
        </is>
      </c>
      <c r="K26" s="19" t="inlineStr">
        <is>
          <t>WHT.MANAGE</t>
        </is>
      </c>
      <c r="L26" s="19" t="inlineStr"/>
      <c r="M26" s="8" t="inlineStr">
        <is>
          <t>Not Run</t>
        </is>
      </c>
      <c r="N26" s="8" t="inlineStr"/>
      <c r="O26" s="19" t="inlineStr"/>
      <c r="P26" s="19" t="inlineStr"/>
      <c r="Q26" s="19" t="inlineStr"/>
    </row>
    <row r="27">
      <c r="A27" s="15" t="inlineStr">
        <is>
          <t>TAX-025</t>
        </is>
      </c>
      <c r="B27" s="16" t="inlineStr">
        <is>
          <t>WHT Types</t>
        </is>
      </c>
      <c r="C27" s="16" t="inlineStr">
        <is>
          <t>Deactivate a WHT type (soft deactivation — row remains visible)</t>
        </is>
      </c>
      <c r="D27" s="17" t="inlineStr">
        <is>
          <t>Positive</t>
        </is>
      </c>
      <c r="E27" s="17" t="inlineStr">
        <is>
          <t>High</t>
        </is>
      </c>
      <c r="F27" s="16" t="inlineStr">
        <is>
          <t>An ACTIVE WHT type exists. Logged in as ORG_ADMIN (has WHT.MANAGE).</t>
        </is>
      </c>
      <c r="G27" s="16" t="inlineStr">
        <is>
          <t>1. Click Deactivate on an active WHT type row.
2. Observe the row after deactivation.</t>
        </is>
      </c>
      <c r="H27" s="16" t="inlineStr">
        <is>
          <t>An ACTIVE WHT type.</t>
        </is>
      </c>
      <c r="I27" s="16" t="inlineStr">
        <is>
          <t>active flips to false. The row remains in the table (no hard delete) with the inactive indicator. The Deactivate control is suppressed on the now-inactive row. Re-deactivating is a no-op (idempotent). Reactivation is possible via Edit (set active = true).</t>
        </is>
      </c>
      <c r="J27" s="16" t="inlineStr">
        <is>
          <t>/admin/tax/wht-types</t>
        </is>
      </c>
      <c r="K27" s="16" t="inlineStr">
        <is>
          <t>WHT.MANAGE</t>
        </is>
      </c>
      <c r="L27" s="16" t="inlineStr"/>
      <c r="M27" s="17" t="inlineStr">
        <is>
          <t>Not Run</t>
        </is>
      </c>
      <c r="N27" s="17" t="inlineStr"/>
      <c r="O27" s="16" t="inlineStr"/>
      <c r="P27" s="16" t="inlineStr"/>
      <c r="Q27" s="16" t="inlineStr"/>
    </row>
    <row r="28">
      <c r="A28" s="18" t="inlineStr">
        <is>
          <t>TAX-026</t>
        </is>
      </c>
      <c r="B28" s="19" t="inlineStr">
        <is>
          <t>WHT Types</t>
        </is>
      </c>
      <c r="C28" s="19" t="inlineStr">
        <is>
          <t>WHT Types read-only for a user with WHT.VIEW but not WHT.MANAGE</t>
        </is>
      </c>
      <c r="D28" s="8" t="inlineStr">
        <is>
          <t>Permission</t>
        </is>
      </c>
      <c r="E28" s="8" t="inlineStr">
        <is>
          <t>High</t>
        </is>
      </c>
      <c r="F28" s="19" t="inlineStr">
        <is>
          <t>A CUSTOM role with only WHT.VIEW assigned. Logged in as that user.</t>
        </is>
      </c>
      <c r="G28" s="19" t="inlineStr">
        <is>
          <t>1. Open /admin/tax/wht-types.
2. Observe available controls.
3. Attempt POST /api/v1/wht/types directly.</t>
        </is>
      </c>
      <c r="H28" s="19" t="inlineStr">
        <is>
          <t>WHT.VIEW-only user.</t>
        </is>
      </c>
      <c r="I28" s="19" t="inlineStr">
        <is>
          <t>Table visible and reads correctly. No New WHT Type, Edit, or Deactivate controls (canManage is false). Direct POST returns 403. GET list and GET by UID succeed.</t>
        </is>
      </c>
      <c r="J28" s="19" t="inlineStr">
        <is>
          <t>/admin/tax/wht-types</t>
        </is>
      </c>
      <c r="K28" s="19" t="inlineStr">
        <is>
          <t>WHT.VIEW</t>
        </is>
      </c>
      <c r="L28" s="19" t="inlineStr"/>
      <c r="M28" s="8" t="inlineStr">
        <is>
          <t>Not Run</t>
        </is>
      </c>
      <c r="N28" s="8" t="inlineStr"/>
      <c r="O28" s="19" t="inlineStr"/>
      <c r="P28" s="19" t="inlineStr"/>
      <c r="Q28" s="19" t="inlineStr"/>
    </row>
    <row r="29">
      <c r="A29" s="15" t="inlineStr">
        <is>
          <t>TAX-027</t>
        </is>
      </c>
      <c r="B29" s="16" t="inlineStr">
        <is>
          <t>WHT Register</t>
        </is>
      </c>
      <c r="C29" s="16" t="inlineStr">
        <is>
          <t>WHT Register loads by year and month, splits by kind with group totals</t>
        </is>
      </c>
      <c r="D29" s="17" t="inlineStr">
        <is>
          <t>Positive</t>
        </is>
      </c>
      <c r="E29" s="17" t="inlineStr">
        <is>
          <t>High</t>
        </is>
      </c>
      <c r="F29" s="16" t="inlineStr">
        <is>
          <t>WHT transactions exist for March 2026 in both WHT_ON_PAYMENT (from AP payment) and WHT_ON_RECEIPT (from AR receipt). Logged in as ORG_ADMIN (has WHT.VIEW).</t>
        </is>
      </c>
      <c r="G29" s="16" t="inlineStr">
        <is>
          <t>1. Navigate to /admin/tax/wht-register.
2. Select company.
3. Choose period mode Month, Year 2026, Month March.
4. Click Load.</t>
        </is>
      </c>
      <c r="H29" s="16" t="inlineStr">
        <is>
          <t>year: 2026, month: 3 (March). WHT transactions seeded via AP and AR flows.</t>
        </is>
      </c>
      <c r="I29" s="16" t="inlineStr">
        <is>
          <t>Two sections appear: 'WHT Payable to TRA' (WHT_ON_PAYMENT rows) and 'WHT Receivable' (WHT_ON_RECEIPT rows). Each row shows whtNumber, party name, source ref, taxable base, WHT amount, certificate date. Each section shows a group total (totalPayable / totalReceivable). Money formatted to 2 dp. Dates ISO format.</t>
        </is>
      </c>
      <c r="J29" s="16" t="inlineStr">
        <is>
          <t>/admin/tax/wht-register</t>
        </is>
      </c>
      <c r="K29" s="16" t="inlineStr">
        <is>
          <t>WHT.VIEW</t>
        </is>
      </c>
      <c r="L29" s="16" t="inlineStr"/>
      <c r="M29" s="17" t="inlineStr">
        <is>
          <t>Not Run</t>
        </is>
      </c>
      <c r="N29" s="17" t="inlineStr"/>
      <c r="O29" s="16" t="inlineStr"/>
      <c r="P29" s="16" t="inlineStr"/>
      <c r="Q29" s="16" t="inlineStr"/>
    </row>
    <row r="30">
      <c r="A30" s="18" t="inlineStr">
        <is>
          <t>TAX-028</t>
        </is>
      </c>
      <c r="B30" s="19" t="inlineStr">
        <is>
          <t>WHT Register</t>
        </is>
      </c>
      <c r="C30" s="19" t="inlineStr">
        <is>
          <t>WHT Register loads by explicit date range (periodStart / periodEnd)</t>
        </is>
      </c>
      <c r="D30" s="8" t="inlineStr">
        <is>
          <t>Positive</t>
        </is>
      </c>
      <c r="E30" s="8" t="inlineStr">
        <is>
          <t>Medium</t>
        </is>
      </c>
      <c r="F30" s="19" t="inlineStr">
        <is>
          <t>WHT transactions exist in Q1 2026. Logged in as ORG_ADMIN.</t>
        </is>
      </c>
      <c r="G30" s="19" t="inlineStr">
        <is>
          <t>1. Navigate to /admin/tax/wht-register.
2. Switch period mode to Range.
3. Set periodStart 2026-01-01, periodEnd 2026-03-31.
4. Click Load.</t>
        </is>
      </c>
      <c r="H30" s="19" t="inlineStr">
        <is>
          <t>periodStart: 2026-01-01, periodEnd: 2026-03-31.</t>
        </is>
      </c>
      <c r="I30" s="19" t="inlineStr">
        <is>
          <t>Register covers the inclusive date range. Rows filtered on certificateDate BETWEEN start AND end. If year+month are also provided alongside the range, year+month takes precedence.</t>
        </is>
      </c>
      <c r="J30" s="19" t="inlineStr">
        <is>
          <t>/admin/tax/wht-register</t>
        </is>
      </c>
      <c r="K30" s="19" t="inlineStr">
        <is>
          <t>WHT.VIEW</t>
        </is>
      </c>
      <c r="L30" s="19" t="inlineStr"/>
      <c r="M30" s="8" t="inlineStr">
        <is>
          <t>Not Run</t>
        </is>
      </c>
      <c r="N30" s="8" t="inlineStr"/>
      <c r="O30" s="19" t="inlineStr"/>
      <c r="P30" s="19" t="inlineStr"/>
      <c r="Q30" s="19" t="inlineStr"/>
    </row>
    <row r="31">
      <c r="A31" s="15" t="inlineStr">
        <is>
          <t>TAX-029</t>
        </is>
      </c>
      <c r="B31" s="16" t="inlineStr">
        <is>
          <t>WHT Register</t>
        </is>
      </c>
      <c r="C31" s="16" t="inlineStr">
        <is>
          <t>WHT Register requires a valid period — error when neither complete pair is supplied</t>
        </is>
      </c>
      <c r="D31" s="17" t="inlineStr">
        <is>
          <t>Negative</t>
        </is>
      </c>
      <c r="E31" s="17" t="inlineStr">
        <is>
          <t>Medium</t>
        </is>
      </c>
      <c r="F31" s="16" t="inlineStr">
        <is>
          <t>Logged in as ORG_ADMIN.</t>
        </is>
      </c>
      <c r="G31" s="16" t="inlineStr">
        <is>
          <t>1. Switch to Range mode.
2. Provide only periodStart, leave periodEnd blank.
3. Click Load.</t>
        </is>
      </c>
      <c r="H31" s="16" t="inlineStr">
        <is>
          <t>Only periodStart provided, periodEnd blank.</t>
        </is>
      </c>
      <c r="I31" s="16" t="inlineStr">
        <is>
          <t>Server raises IllegalArgumentException: 'Provide either year+month or periodStart+periodEnd.' Error state rendered; no results shown. Providing only year without month is similarly insufficient.</t>
        </is>
      </c>
      <c r="J31" s="16" t="inlineStr">
        <is>
          <t>/admin/tax/wht-register</t>
        </is>
      </c>
      <c r="K31" s="16" t="inlineStr">
        <is>
          <t>WHT.VIEW</t>
        </is>
      </c>
      <c r="L31" s="16" t="inlineStr"/>
      <c r="M31" s="17" t="inlineStr">
        <is>
          <t>Not Run</t>
        </is>
      </c>
      <c r="N31" s="17" t="inlineStr"/>
      <c r="O31" s="16" t="inlineStr"/>
      <c r="P31" s="16" t="inlineStr"/>
      <c r="Q31" s="16" t="inlineStr"/>
    </row>
  </sheetData>
  <autoFilter ref="A2:Q31"/>
  <mergeCells count="1">
    <mergeCell ref="A1:Q1"/>
  </mergeCells>
  <dataValidations count="4">
    <dataValidation sqref="D3:D31" showDropDown="0" showInputMessage="0" showErrorMessage="0" allowBlank="1" type="list">
      <formula1>"Positive,Negative,Permission,Edge"</formula1>
    </dataValidation>
    <dataValidation sqref="E3:E31" showDropDown="0" showInputMessage="0" showErrorMessage="0" allowBlank="1" type="list">
      <formula1>"High,Medium,Low"</formula1>
    </dataValidation>
    <dataValidation sqref="M3:M31" showDropDown="0" showInputMessage="0" showErrorMessage="0" allowBlank="1" type="list">
      <formula1>"Not Run,Pass,Fail,Blocked,N/A"</formula1>
    </dataValidation>
    <dataValidation sqref="N3:N31" showDropDown="0" showInputMessage="0" showErrorMessage="0" allowBlank="1" type="list">
      <formula1>"-,Critical,High,Medium,Low"</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21"/>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FX &amp; Multicurrency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FX-001</t>
        </is>
      </c>
      <c r="B3" s="16" t="inlineStr">
        <is>
          <t>Currency Rates</t>
        </is>
      </c>
      <c r="C3" s="16" t="inlineStr">
        <is>
          <t>Currency list shows seeded active currencies — inactive excluded</t>
        </is>
      </c>
      <c r="D3" s="17" t="inlineStr">
        <is>
          <t>Positive</t>
        </is>
      </c>
      <c r="E3" s="17" t="inlineStr">
        <is>
          <t>High</t>
        </is>
      </c>
      <c r="F3" s="16" t="inlineStr">
        <is>
          <t>V77 seed applied: TZS, USD, EUR, KES, GBP active. Logged in as ORG_ADMIN (has CURRENCY.VIEW).</t>
        </is>
      </c>
      <c r="G3" s="16" t="inlineStr">
        <is>
          <t>1. Navigate to /admin/fx/rates.
2. Open the from-currency picker and read available options.</t>
        </is>
      </c>
      <c r="H3" s="16" t="inlineStr">
        <is>
          <t>Seeded currencies: TZS, USD, EUR, KES, GBP.</t>
        </is>
      </c>
      <c r="I3" s="16" t="inlineStr">
        <is>
          <t>Picker lists exactly TZS, USD, EUR, KES, GBP. Currencies shown by code/name not UID. An INACTIVE currency (e.g. GBP set inactive) is excluded. API GET /api/v1/fx/currencies returns ApiResponse&lt;CurrencyDto[]&gt; with active=true records only.</t>
        </is>
      </c>
      <c r="J3" s="16" t="inlineStr">
        <is>
          <t>/admin/fx/rates</t>
        </is>
      </c>
      <c r="K3" s="16" t="inlineStr">
        <is>
          <t>CURRENCY.VIEW</t>
        </is>
      </c>
      <c r="L3" s="16" t="inlineStr"/>
      <c r="M3" s="17" t="inlineStr">
        <is>
          <t>Not Run</t>
        </is>
      </c>
      <c r="N3" s="17" t="inlineStr"/>
      <c r="O3" s="16" t="inlineStr"/>
      <c r="P3" s="16" t="inlineStr"/>
      <c r="Q3" s="16" t="inlineStr"/>
    </row>
    <row r="4">
      <c r="A4" s="18" t="inlineStr">
        <is>
          <t>FX-002</t>
        </is>
      </c>
      <c r="B4" s="19" t="inlineStr">
        <is>
          <t>Currency Rates</t>
        </is>
      </c>
      <c r="C4" s="19" t="inlineStr">
        <is>
          <t>Add a new SPOT rate USD to TZS — happy path</t>
        </is>
      </c>
      <c r="D4" s="8" t="inlineStr">
        <is>
          <t>Positive</t>
        </is>
      </c>
      <c r="E4" s="8" t="inlineStr">
        <is>
          <t>High</t>
        </is>
      </c>
      <c r="F4" s="19" t="inlineStr">
        <is>
          <t>Company base currency = TZS. USD and TZS are active. Logged in as ORG_ADMIN (has CURRENCY.MANAGE).</t>
        </is>
      </c>
      <c r="G4" s="19" t="inlineStr">
        <is>
          <t>1. Go to /admin/fx/rates.
2. Select company by name.
3. Click New rate.
4. Choose from = USD (from picker by code), to = TZS (from picker by code).
5. Enter rate: 2500.00000000, effective date: 2026-01-01, rateType: SPOT, source: manual.
6. Submit.</t>
        </is>
      </c>
      <c r="H4" s="19" t="inlineStr">
        <is>
          <t>fromCurrency: USD, toCurrency: TZS, rate: 2500, effectiveDate: 2026-01-01, rateType: SPOT.</t>
        </is>
      </c>
      <c r="I4" s="19" t="inlineStr">
        <is>
          <t>Success toast: 'Rate added — USD/TZS @ 2500.' New row appears at the top of the newest-first list. Rate stored with scale 8. No edit control on existing rows (append-only). HTTP 200 with envelope. Rate displayed to 6 dp by fmtRate.</t>
        </is>
      </c>
      <c r="J4" s="19" t="inlineStr">
        <is>
          <t>/admin/fx/rates</t>
        </is>
      </c>
      <c r="K4" s="19" t="inlineStr">
        <is>
          <t>CURRENCY.MANAGE</t>
        </is>
      </c>
      <c r="L4" s="19" t="inlineStr"/>
      <c r="M4" s="8" t="inlineStr">
        <is>
          <t>Not Run</t>
        </is>
      </c>
      <c r="N4" s="8" t="inlineStr"/>
      <c r="O4" s="19" t="inlineStr"/>
      <c r="P4" s="19" t="inlineStr"/>
      <c r="Q4" s="19" t="inlineStr"/>
    </row>
    <row r="5">
      <c r="A5" s="15" t="inlineStr">
        <is>
          <t>FX-003</t>
        </is>
      </c>
      <c r="B5" s="16" t="inlineStr">
        <is>
          <t>Currency Rates</t>
        </is>
      </c>
      <c r="C5" s="16" t="inlineStr">
        <is>
          <t>Rate rejected when to_currency is not the company base (v1 rule)</t>
        </is>
      </c>
      <c r="D5" s="17" t="inlineStr">
        <is>
          <t>Negative</t>
        </is>
      </c>
      <c r="E5" s="17" t="inlineStr">
        <is>
          <t>High</t>
        </is>
      </c>
      <c r="F5" s="16" t="inlineStr">
        <is>
          <t>Company base = TZS. USD and EUR both active. Logged in as ORG_ADMIN.</t>
        </is>
      </c>
      <c r="G5" s="16" t="inlineStr">
        <is>
          <t>1. Click New rate.
2. Choose from = EUR, to = USD (neither is base TZS).
3. Submit.</t>
        </is>
      </c>
      <c r="H5" s="16" t="inlineStr">
        <is>
          <t>fromCurrency: EUR, toCurrency: USD, rate: 1.1, effectiveDate: 2026-01-01.</t>
        </is>
      </c>
      <c r="I5" s="16" t="inlineStr">
        <is>
          <t>Rejected: 'to_currency USD must equal company base currency TZS in v1.' HTTP 400. No row created. Setting to = TZS (the base) would succeed.</t>
        </is>
      </c>
      <c r="J5" s="16" t="inlineStr">
        <is>
          <t>/admin/fx/rates</t>
        </is>
      </c>
      <c r="K5" s="16" t="inlineStr">
        <is>
          <t>CURRENCY.MANAGE</t>
        </is>
      </c>
      <c r="L5" s="16" t="inlineStr"/>
      <c r="M5" s="17" t="inlineStr">
        <is>
          <t>Not Run</t>
        </is>
      </c>
      <c r="N5" s="17" t="inlineStr"/>
      <c r="O5" s="16" t="inlineStr"/>
      <c r="P5" s="16" t="inlineStr"/>
      <c r="Q5" s="16" t="inlineStr"/>
    </row>
    <row r="6">
      <c r="A6" s="18" t="inlineStr">
        <is>
          <t>FX-004</t>
        </is>
      </c>
      <c r="B6" s="19" t="inlineStr">
        <is>
          <t>Currency Rates</t>
        </is>
      </c>
      <c r="C6" s="19" t="inlineStr">
        <is>
          <t>Rate rejected for unknown or inactive currency code</t>
        </is>
      </c>
      <c r="D6" s="8" t="inlineStr">
        <is>
          <t>Negative</t>
        </is>
      </c>
      <c r="E6" s="8" t="inlineStr">
        <is>
          <t>Medium</t>
        </is>
      </c>
      <c r="F6" s="19" t="inlineStr">
        <is>
          <t>GBP set inactive. Logged in as ORG_ADMIN.</t>
        </is>
      </c>
      <c r="G6" s="19" t="inlineStr">
        <is>
          <t>1. Add rate from = ZZZ (unknown) to TZS.
2. Add rate from = GBP (inactive) to TZS.</t>
        </is>
      </c>
      <c r="H6" s="19" t="inlineStr">
        <is>
          <t>from: ZZZ (unknown), from: GBP (inactive).</t>
        </is>
      </c>
      <c r="I6" s="19" t="inlineStr">
        <is>
          <t>ZZZ rejected: 'Unknown from-currency: ZZZ.' GBP rejected: 'Currency is not active: GBP.' Both HTTP 400. No rows created.</t>
        </is>
      </c>
      <c r="J6" s="19" t="inlineStr">
        <is>
          <t>/admin/fx/rates</t>
        </is>
      </c>
      <c r="K6" s="19" t="inlineStr">
        <is>
          <t>CURRENCY.MANAGE</t>
        </is>
      </c>
      <c r="L6" s="19" t="inlineStr"/>
      <c r="M6" s="8" t="inlineStr">
        <is>
          <t>Not Run</t>
        </is>
      </c>
      <c r="N6" s="8" t="inlineStr"/>
      <c r="O6" s="19" t="inlineStr"/>
      <c r="P6" s="19" t="inlineStr"/>
      <c r="Q6" s="19" t="inlineStr"/>
    </row>
    <row r="7">
      <c r="A7" s="15" t="inlineStr">
        <is>
          <t>FX-005</t>
        </is>
      </c>
      <c r="B7" s="16" t="inlineStr">
        <is>
          <t>Currency Rates</t>
        </is>
      </c>
      <c r="C7" s="16" t="inlineStr">
        <is>
          <t>Rate validation — rate must be positive, codes must be 3 characters, from != to</t>
        </is>
      </c>
      <c r="D7" s="17" t="inlineStr">
        <is>
          <t>Negative</t>
        </is>
      </c>
      <c r="E7" s="17" t="inlineStr">
        <is>
          <t>Medium</t>
        </is>
      </c>
      <c r="F7" s="16" t="inlineStr">
        <is>
          <t>Logged in as ORG_ADMIN.</t>
        </is>
      </c>
      <c r="G7" s="16" t="inlineStr">
        <is>
          <t>1. Enter from = US (2 chars) — expect client error.
2. Enter from = USD, to = USD (equal) — expect client error.
3. Enter rate = 0 — expect client error.
4. Bypass client and POST rate = -5.</t>
        </is>
      </c>
      <c r="H7" s="16" t="inlineStr">
        <is>
          <t>Various invalid inputs. Smallest positive: 0.00000001.</t>
        </is>
      </c>
      <c r="I7" s="16" t="inlineStr">
        <is>
          <t>Client errors: 'From-currency must be a 3-letter ISO code.' / 'From and To currencies must differ.' / 'Rate must be a positive number.' Server: @Positive + @Size(min=3,max=3) + service double-check reject. Rate 0.00000001 (scale 8) is accepted.</t>
        </is>
      </c>
      <c r="J7" s="16" t="inlineStr">
        <is>
          <t>/admin/fx/rates</t>
        </is>
      </c>
      <c r="K7" s="16" t="inlineStr">
        <is>
          <t>CURRENCY.MANAGE</t>
        </is>
      </c>
      <c r="L7" s="16" t="inlineStr"/>
      <c r="M7" s="17" t="inlineStr">
        <is>
          <t>Not Run</t>
        </is>
      </c>
      <c r="N7" s="17" t="inlineStr"/>
      <c r="O7" s="16" t="inlineStr"/>
      <c r="P7" s="16" t="inlineStr"/>
      <c r="Q7" s="16" t="inlineStr"/>
    </row>
    <row r="8">
      <c r="A8" s="18" t="inlineStr">
        <is>
          <t>FX-006</t>
        </is>
      </c>
      <c r="B8" s="19" t="inlineStr">
        <is>
          <t>Currency Rates</t>
        </is>
      </c>
      <c r="C8" s="19" t="inlineStr">
        <is>
          <t>Correction rate is a new row — duplicate composite key rejected</t>
        </is>
      </c>
      <c r="D8" s="8" t="inlineStr">
        <is>
          <t>Edge</t>
        </is>
      </c>
      <c r="E8" s="8" t="inlineStr">
        <is>
          <t>High</t>
        </is>
      </c>
      <c r="F8" s="19" t="inlineStr">
        <is>
          <t>USD to TZS SPOT rate exists for 2026-01-01. Logged in as ORG_ADMIN.</t>
        </is>
      </c>
      <c r="G8" s="19" t="inlineStr">
        <is>
          <t>1. Add USD to TZS SPOT at rate 2550, effective 2026-02-01 — succeeds (new row).
2. Confirm no edit control on the 2026-01-01 row.
3. Attempt to add USD to TZS SPOT at rate 2600, effective 2026-01-01 again.</t>
        </is>
      </c>
      <c r="H8" s="19" t="inlineStr">
        <is>
          <t>Existing row: USD/TZS SPOT 2026-01-01. New attempt: same composite key.</t>
        </is>
      </c>
      <c r="I8" s="19" t="inlineStr">
        <is>
          <t>Step 1 succeeds (different date). Step 3 violates uq_currency_rate unique constraint and surfaces a 4xx error. No in-place mutation ever occurs (columns are updatable=false). Same date with different rateType (e.g. CLOSING) is allowed.</t>
        </is>
      </c>
      <c r="J8" s="19" t="inlineStr">
        <is>
          <t>/admin/fx/rates</t>
        </is>
      </c>
      <c r="K8" s="19" t="inlineStr">
        <is>
          <t>CURRENCY.MANAGE</t>
        </is>
      </c>
      <c r="L8" s="19" t="inlineStr"/>
      <c r="M8" s="8" t="inlineStr">
        <is>
          <t>Not Run</t>
        </is>
      </c>
      <c r="N8" s="8" t="inlineStr"/>
      <c r="O8" s="19" t="inlineStr"/>
      <c r="P8" s="19" t="inlineStr"/>
      <c r="Q8" s="19" t="inlineStr"/>
    </row>
    <row r="9">
      <c r="A9" s="15" t="inlineStr">
        <is>
          <t>FX-007</t>
        </is>
      </c>
      <c r="B9" s="16" t="inlineStr">
        <is>
          <t>Currency Rates</t>
        </is>
      </c>
      <c r="C9" s="16" t="inlineStr">
        <is>
          <t>Rate list is paginated newest-first and shows four states</t>
        </is>
      </c>
      <c r="D9" s="17" t="inlineStr">
        <is>
          <t>Positive</t>
        </is>
      </c>
      <c r="E9" s="17" t="inlineStr">
        <is>
          <t>Medium</t>
        </is>
      </c>
      <c r="F9" s="16" t="inlineStr">
        <is>
          <t>More than 50 rate rows for the company. A company with zero rates. Logged in as ORG_ADMIN.</t>
        </is>
      </c>
      <c r="G9" s="16" t="inlineStr">
        <is>
          <t>1. Navigate to /admin/fx/rates with the multi-rate company.
2. Exercise paginator FIRST, PREVIOUS, page numbers, NEXT, LAST.
3. Switch to the zero-rate company.
4. Force a server error and observe.
5. Log in as a user with no permissions and navigate to the route.</t>
        </is>
      </c>
      <c r="H9" s="16" t="inlineStr">
        <is>
          <t>51+ rate rows. Zero-rate company. No-permission user.</t>
        </is>
      </c>
      <c r="I9" s="16" t="inlineStr">
        <is>
          <t>Rows ordered by effectiveDate DESC. Paginator FIRST/PREV/numbers/NEXT/LAST present. Zero-rate company shows distinct empty state. Server error shows error state. 403 maps to forbidden state (not generic error). Paginator self-hides with 1 or fewer pages.</t>
        </is>
      </c>
      <c r="J9" s="16" t="inlineStr">
        <is>
          <t>/admin/fx/rates</t>
        </is>
      </c>
      <c r="K9" s="16" t="inlineStr">
        <is>
          <t>CURRENCY.VIEW</t>
        </is>
      </c>
      <c r="L9" s="16" t="inlineStr"/>
      <c r="M9" s="17" t="inlineStr">
        <is>
          <t>Not Run</t>
        </is>
      </c>
      <c r="N9" s="17" t="inlineStr"/>
      <c r="O9" s="16" t="inlineStr"/>
      <c r="P9" s="16" t="inlineStr"/>
      <c r="Q9" s="16" t="inlineStr"/>
    </row>
    <row r="10">
      <c r="A10" s="18" t="inlineStr">
        <is>
          <t>FX-008</t>
        </is>
      </c>
      <c r="B10" s="19" t="inlineStr">
        <is>
          <t>Currency Rates</t>
        </is>
      </c>
      <c r="C10" s="19" t="inlineStr">
        <is>
          <t>View-only user cannot write rates — button hidden and API 403</t>
        </is>
      </c>
      <c r="D10" s="8" t="inlineStr">
        <is>
          <t>Permission</t>
        </is>
      </c>
      <c r="E10" s="8" t="inlineStr">
        <is>
          <t>High</t>
        </is>
      </c>
      <c r="F10" s="19" t="inlineStr">
        <is>
          <t>CUSTOM role with only CURRENCY.VIEW. User assigned to this role.</t>
        </is>
      </c>
      <c r="G10" s="19" t="inlineStr">
        <is>
          <t>1. Log in as the view-only user.
2. Navigate to /admin/fx/rates.
3. Confirm the New rate button is not shown.
4. Attempt POST /api/v1/fx/rates directly.</t>
        </is>
      </c>
      <c r="H10" s="19" t="inlineStr">
        <is>
          <t>CURRENCY.VIEW-only user.</t>
        </is>
      </c>
      <c r="I10" s="19" t="inlineStr">
        <is>
          <t>Rate list loads successfully (read allowed). New rate button is hidden (canManage is false). Direct POST returns 403. A user with neither CURRENCY.VIEW nor CURRENCY.MANAGE sees the list return 403 -&gt; forbidden state.</t>
        </is>
      </c>
      <c r="J10" s="19" t="inlineStr">
        <is>
          <t>/admin/fx/rates</t>
        </is>
      </c>
      <c r="K10" s="19" t="inlineStr">
        <is>
          <t>CURRENCY.VIEW</t>
        </is>
      </c>
      <c r="L10" s="19" t="inlineStr"/>
      <c r="M10" s="8" t="inlineStr">
        <is>
          <t>Not Run</t>
        </is>
      </c>
      <c r="N10" s="8" t="inlineStr"/>
      <c r="O10" s="19" t="inlineStr"/>
      <c r="P10" s="19" t="inlineStr"/>
      <c r="Q10" s="19" t="inlineStr"/>
    </row>
    <row r="11">
      <c r="A11" s="15" t="inlineStr">
        <is>
          <t>FX-009</t>
        </is>
      </c>
      <c r="B11" s="16" t="inlineStr">
        <is>
          <t>FX Revaluation</t>
        </is>
      </c>
      <c r="C11" s="16" t="inlineStr">
        <is>
          <t>Preview FX revaluation — AR gain run (dry run, no GL posted)</t>
        </is>
      </c>
      <c r="D11" s="17" t="inlineStr">
        <is>
          <t>Positive</t>
        </is>
      </c>
      <c r="E11" s="17" t="inlineStr">
        <is>
          <t>High</t>
        </is>
      </c>
      <c r="F11" s="16" t="inlineStr">
        <is>
          <t>Open foreign AR invoice USD 100 carrying TZS 250000. USD to TZS SPOT rate 2600 effective on period end. An OPEN FiscalPeriod exists. Logged in as ORG_ADMIN (has FX.REVALUE).</t>
        </is>
      </c>
      <c r="G11" s="16" t="inlineStr">
        <is>
          <t>1. Navigate to /admin/fx/revaluation-runs.
2. Select company by name.
3. Click Preview.
4. Choose the fiscal period via the period picker (by period label).
5. Leave spot-rate-date blank (defaults to period end).
6. Run preview.</t>
        </is>
      </c>
      <c r="H11" s="16" t="inlineStr">
        <is>
          <t>USD 100, carrying TZS 250000, spot 2600.</t>
        </is>
      </c>
      <c r="I11" s="16" t="inlineStr">
        <is>
          <t>Preview shows AR/USD line: outstandingTxn 100, carryingBase 250000, spotRate 2600, revaluedBase 260000, adjustment +10000. Header totalGain = 10000, totalLoss = 0, netAdjustment = +10000. No run row is created. The run list is unchanged.</t>
        </is>
      </c>
      <c r="J11" s="16" t="inlineStr">
        <is>
          <t>/admin/fx/revaluation-runs</t>
        </is>
      </c>
      <c r="K11" s="16" t="inlineStr">
        <is>
          <t>FX.REVALUE</t>
        </is>
      </c>
      <c r="L11" s="16" t="inlineStr"/>
      <c r="M11" s="17" t="inlineStr">
        <is>
          <t>Not Run</t>
        </is>
      </c>
      <c r="N11" s="17" t="inlineStr"/>
      <c r="O11" s="16" t="inlineStr"/>
      <c r="P11" s="16" t="inlineStr"/>
      <c r="Q11" s="16" t="inlineStr"/>
    </row>
    <row r="12">
      <c r="A12" s="18" t="inlineStr">
        <is>
          <t>FX-010</t>
        </is>
      </c>
      <c r="B12" s="19" t="inlineStr">
        <is>
          <t>FX Revaluation</t>
        </is>
      </c>
      <c r="C12" s="19" t="inlineStr">
        <is>
          <t>Preview FX revaluation — AR loss run (spot &lt; invoice rate)</t>
        </is>
      </c>
      <c r="D12" s="8" t="inlineStr">
        <is>
          <t>Positive</t>
        </is>
      </c>
      <c r="E12" s="8" t="inlineStr">
        <is>
          <t>High</t>
        </is>
      </c>
      <c r="F12" s="19" t="inlineStr">
        <is>
          <t>Open foreign AR invoice USD 100 carrying TZS 250000. USD to TZS SPOT rate 2400. Logged in as ORG_ADMIN.</t>
        </is>
      </c>
      <c r="G12" s="19" t="inlineStr">
        <is>
          <t>1. Preview revaluation for the period with spot rate 2400.</t>
        </is>
      </c>
      <c r="H12" s="19" t="inlineStr">
        <is>
          <t>USD 100, carrying TZS 250000, spot 2400.</t>
        </is>
      </c>
      <c r="I12" s="19" t="inlineStr">
        <is>
          <t>AR/USD line adjustment = -10000. Header totalGain = 0, totalLoss = 10000, netAdjustment = -10000. Loss styled distinctly (deltaClass danger). No run row persisted.</t>
        </is>
      </c>
      <c r="J12" s="19" t="inlineStr">
        <is>
          <t>/admin/fx/revaluation-runs</t>
        </is>
      </c>
      <c r="K12" s="19" t="inlineStr">
        <is>
          <t>FX.REVALUE</t>
        </is>
      </c>
      <c r="L12" s="19" t="inlineStr"/>
      <c r="M12" s="8" t="inlineStr">
        <is>
          <t>Not Run</t>
        </is>
      </c>
      <c r="N12" s="8" t="inlineStr"/>
      <c r="O12" s="19" t="inlineStr"/>
      <c r="P12" s="19" t="inlineStr"/>
      <c r="Q12" s="19" t="inlineStr"/>
    </row>
    <row r="13">
      <c r="A13" s="15" t="inlineStr">
        <is>
          <t>FX-011</t>
        </is>
      </c>
      <c r="B13" s="16" t="inlineStr">
        <is>
          <t>FX Revaluation</t>
        </is>
      </c>
      <c r="C13" s="16" t="inlineStr">
        <is>
          <t>Post revaluation run creates balanced GL journal and auto-reverses when next period is open</t>
        </is>
      </c>
      <c r="D13" s="17" t="inlineStr">
        <is>
          <t>Positive</t>
        </is>
      </c>
      <c r="E13" s="17" t="inlineStr">
        <is>
          <t>High</t>
        </is>
      </c>
      <c r="F13" s="16" t="inlineStr">
        <is>
          <t>Open foreign AR and AP exposure. GL config UNREALIZED_FX_GAIN, UNREALIZED_FX_LOSS, ACCOUNTS_RECEIVABLE, ACCOUNTS_PAYABLE set. Current period and next period both OPEN. Logged in as ORG_ADMIN.</t>
        </is>
      </c>
      <c r="G13" s="16" t="inlineStr">
        <is>
          <t>1. Preview the period (from FX-009 scenario).
2. Enter posting date = period end.
3. Click Post.</t>
        </is>
      </c>
      <c r="H13" s="16" t="inlineStr">
        <is>
          <t>posting date = fiscal period end, net adjustment != 0.</t>
        </is>
      </c>
      <c r="I13" s="16" t="inlineStr">
        <is>
          <t>HTTP 201 CREATED. Run row with runNumber (FXR-NNNNN). Because the next period is open, auto-reversal fires immediately: final status = REVERSED with both glEntryUid and reversalGlEntryUid populated. GL journal is balanced (Sigma debit == Sigma credit). Success toast with run number. List refreshes.</t>
        </is>
      </c>
      <c r="J13" s="16" t="inlineStr">
        <is>
          <t>/admin/fx/revaluation-runs</t>
        </is>
      </c>
      <c r="K13" s="16" t="inlineStr">
        <is>
          <t>FX.REVALUE</t>
        </is>
      </c>
      <c r="L13" s="16" t="inlineStr"/>
      <c r="M13" s="17" t="inlineStr">
        <is>
          <t>Not Run</t>
        </is>
      </c>
      <c r="N13" s="17" t="inlineStr"/>
      <c r="O13" s="16" t="inlineStr"/>
      <c r="P13" s="16" t="inlineStr"/>
      <c r="Q13" s="16" t="inlineStr"/>
    </row>
    <row r="14">
      <c r="A14" s="18" t="inlineStr">
        <is>
          <t>FX-012</t>
        </is>
      </c>
      <c r="B14" s="19" t="inlineStr">
        <is>
          <t>FX Revaluation</t>
        </is>
      </c>
      <c r="C14" s="19" t="inlineStr">
        <is>
          <t>Posting same period twice is idempotent — no duplicate run or GL</t>
        </is>
      </c>
      <c r="D14" s="8" t="inlineStr">
        <is>
          <t>Edge</t>
        </is>
      </c>
      <c r="E14" s="8" t="inlineStr">
        <is>
          <t>High</t>
        </is>
      </c>
      <c r="F14" s="19" t="inlineStr">
        <is>
          <t>A run already posted for the period. Logged in as ORG_ADMIN.</t>
        </is>
      </c>
      <c r="G14" s="19" t="inlineStr">
        <is>
          <t>1. Post the run for period P (succeeds, first time).
2. Attempt to post again for the same period P.</t>
        </is>
      </c>
      <c r="H14" s="19" t="inlineStr">
        <is>
          <t>Same company and fiscal period.</t>
        </is>
      </c>
      <c r="I14" s="19" t="inlineStr">
        <is>
          <t>Second post is a true idempotent no-op — returns the existing run DTO (status POSTED or REVERSED), does NOT create a second run or second GL entry. Backed by uq_fx_revaluation_run_company_period unique constraint and service existing-run short-circuit.</t>
        </is>
      </c>
      <c r="J14" s="19" t="inlineStr">
        <is>
          <t>/admin/fx/revaluation-runs</t>
        </is>
      </c>
      <c r="K14" s="19" t="inlineStr">
        <is>
          <t>FX.REVALUE</t>
        </is>
      </c>
      <c r="L14" s="19" t="inlineStr"/>
      <c r="M14" s="8" t="inlineStr">
        <is>
          <t>Not Run</t>
        </is>
      </c>
      <c r="N14" s="8" t="inlineStr"/>
      <c r="O14" s="19" t="inlineStr"/>
      <c r="P14" s="19" t="inlineStr"/>
      <c r="Q14" s="19" t="inlineStr"/>
    </row>
    <row r="15">
      <c r="A15" s="15" t="inlineStr">
        <is>
          <t>FX-013</t>
        </is>
      </c>
      <c r="B15" s="16" t="inlineStr">
        <is>
          <t>FX Revaluation</t>
        </is>
      </c>
      <c r="C15" s="16" t="inlineStr">
        <is>
          <t>Posting deferred reversal — status remains POSTED when next period is not yet open</t>
        </is>
      </c>
      <c r="D15" s="17" t="inlineStr">
        <is>
          <t>Positive</t>
        </is>
      </c>
      <c r="E15" s="17" t="inlineStr">
        <is>
          <t>High</t>
        </is>
      </c>
      <c r="F15" s="16" t="inlineStr">
        <is>
          <t>Open foreign exposure. Next fiscal period is NOT open. Logged in as ORG_ADMIN.</t>
        </is>
      </c>
      <c r="G15" s="16" t="inlineStr">
        <is>
          <t>1. Post the revaluation run for the current period.</t>
        </is>
      </c>
      <c r="H15" s="16" t="inlineStr">
        <is>
          <t>Next period closed or not created.</t>
        </is>
      </c>
      <c r="I15" s="16" t="inlineStr">
        <is>
          <t>HTTP 201. Status = POSTED, glEntryUid set, reversalGlEntryUid = null (reversal deferred). The run row shows a Reverse affordance. The outer transaction committed successfully (no poison from the deferred reversal attempt).</t>
        </is>
      </c>
      <c r="J15" s="16" t="inlineStr">
        <is>
          <t>/admin/fx/revaluation-runs</t>
        </is>
      </c>
      <c r="K15" s="16" t="inlineStr">
        <is>
          <t>FX.REVALUE</t>
        </is>
      </c>
      <c r="L15" s="16" t="inlineStr"/>
      <c r="M15" s="17" t="inlineStr">
        <is>
          <t>Not Run</t>
        </is>
      </c>
      <c r="N15" s="17" t="inlineStr"/>
      <c r="O15" s="16" t="inlineStr"/>
      <c r="P15" s="16" t="inlineStr"/>
      <c r="Q15" s="16" t="inlineStr"/>
    </row>
    <row r="16">
      <c r="A16" s="18" t="inlineStr">
        <is>
          <t>FX-014</t>
        </is>
      </c>
      <c r="B16" s="19" t="inlineStr">
        <is>
          <t>FX Revaluation</t>
        </is>
      </c>
      <c r="C16" s="19" t="inlineStr">
        <is>
          <t>Explicit reverse of a POSTED run when next period is now open</t>
        </is>
      </c>
      <c r="D16" s="8" t="inlineStr">
        <is>
          <t>Positive</t>
        </is>
      </c>
      <c r="E16" s="8" t="inlineStr">
        <is>
          <t>High</t>
        </is>
      </c>
      <c r="F16" s="19" t="inlineStr">
        <is>
          <t>A run in POSTED status with reversalGlEntryUid = null. Next period now OPEN. Logged in as ORG_ADMIN.</t>
        </is>
      </c>
      <c r="G16" s="19" t="inlineStr">
        <is>
          <t>1. In the run list, expand the POSTED run.
2. Click Reverse.
3. Enter reversal date: 2026-04-01.
4. Confirm.</t>
        </is>
      </c>
      <c r="H16" s="19" t="inlineStr">
        <is>
          <t>reversalDate: 2026-04-01.</t>
        </is>
      </c>
      <c r="I16" s="19" t="inlineStr">
        <is>
          <t>Reversal journal posted. Status -&gt; REVERSED, reversalGlEntryUid set. List row updates in place. Success toast. Reversal is a new GL entry, never an edit.</t>
        </is>
      </c>
      <c r="J16" s="19" t="inlineStr">
        <is>
          <t>/admin/fx/revaluation-runs</t>
        </is>
      </c>
      <c r="K16" s="19" t="inlineStr">
        <is>
          <t>FX.REVALUE</t>
        </is>
      </c>
      <c r="L16" s="19" t="inlineStr"/>
      <c r="M16" s="8" t="inlineStr">
        <is>
          <t>Not Run</t>
        </is>
      </c>
      <c r="N16" s="8" t="inlineStr"/>
      <c r="O16" s="19" t="inlineStr"/>
      <c r="P16" s="19" t="inlineStr"/>
      <c r="Q16" s="19" t="inlineStr"/>
    </row>
    <row r="17">
      <c r="A17" s="15" t="inlineStr">
        <is>
          <t>FX-015</t>
        </is>
      </c>
      <c r="B17" s="16" t="inlineStr">
        <is>
          <t>FX Revaluation</t>
        </is>
      </c>
      <c r="C17" s="16" t="inlineStr">
        <is>
          <t>Illegal lifecycle transitions for revaluation run — reverse before post and re-reverse</t>
        </is>
      </c>
      <c r="D17" s="17" t="inlineStr">
        <is>
          <t>Negative</t>
        </is>
      </c>
      <c r="E17" s="17" t="inlineStr">
        <is>
          <t>High</t>
        </is>
      </c>
      <c r="F17" s="16" t="inlineStr">
        <is>
          <t>Runs in PREVIEWED and REVERSED states. Logged in as ORG_ADMIN.</t>
        </is>
      </c>
      <c r="G17" s="16" t="inlineStr">
        <is>
          <t>1. Attempt to reverse a PREVIEWED run.
2. Attempt to reverse an already-REVERSED run.
3. Attempt to reverse a POSTED run with glEntryUid = null.</t>
        </is>
      </c>
      <c r="H17" s="16" t="inlineStr">
        <is>
          <t>Runs in PREVIEWED, REVERSED, and POSTED (no GL) states.</t>
        </is>
      </c>
      <c r="I17" s="16" t="inlineStr">
        <is>
          <t>Reverse PREVIEWED: 'Run has not been posted yet.' Reverse REVERSED: idempotent no-op, returns run unchanged. Reverse POSTED with no GL entry: 'has no GL entry to reverse.' No duplicate reversal posted.</t>
        </is>
      </c>
      <c r="J17" s="16" t="inlineStr">
        <is>
          <t>/admin/fx/revaluation-runs</t>
        </is>
      </c>
      <c r="K17" s="16" t="inlineStr">
        <is>
          <t>FX.REVALUE</t>
        </is>
      </c>
      <c r="L17" s="16" t="inlineStr"/>
      <c r="M17" s="17" t="inlineStr">
        <is>
          <t>Not Run</t>
        </is>
      </c>
      <c r="N17" s="17" t="inlineStr"/>
      <c r="O17" s="16" t="inlineStr"/>
      <c r="P17" s="16" t="inlineStr"/>
      <c r="Q17" s="16" t="inlineStr"/>
    </row>
    <row r="18">
      <c r="A18" s="18" t="inlineStr">
        <is>
          <t>FX-016</t>
        </is>
      </c>
      <c r="B18" s="19" t="inlineStr">
        <is>
          <t>FX Revaluation</t>
        </is>
      </c>
      <c r="C18" s="19" t="inlineStr">
        <is>
          <t>Revaluation run list paginates, shows four states, scoped to company</t>
        </is>
      </c>
      <c r="D18" s="8" t="inlineStr">
        <is>
          <t>Positive</t>
        </is>
      </c>
      <c r="E18" s="8" t="inlineStr">
        <is>
          <t>High</t>
        </is>
      </c>
      <c r="F18" s="19" t="inlineStr">
        <is>
          <t>More than 20 runs for the company. A zero-run company. Logged in as ORG_ADMIN (has FX.EXPOSURE.VIEW).</t>
        </is>
      </c>
      <c r="G18" s="19" t="inlineStr">
        <is>
          <t>1. Navigate to /admin/fx/revaluation-runs.
2. Exercise paginator.
3. Switch to the zero-run company.
4. Force a 5xx.
5. Log in as user without FX.EXPOSURE.VIEW.</t>
        </is>
      </c>
      <c r="H18" s="19" t="inlineStr">
        <is>
          <t>21+ runs. Zero-run company. No-permission user.</t>
        </is>
      </c>
      <c r="I18" s="19" t="inlineStr">
        <is>
          <t>Paginated list with meta. Empty state for zero-run company. Error state on 5xx. Forbidden state (not error) on 403. Paginator self-hides at 1 page. Run UIDs not shown — runNumber is the human identifier.</t>
        </is>
      </c>
      <c r="J18" s="19" t="inlineStr">
        <is>
          <t>/admin/fx/revaluation-runs</t>
        </is>
      </c>
      <c r="K18" s="19" t="inlineStr">
        <is>
          <t>FX.EXPOSURE.VIEW</t>
        </is>
      </c>
      <c r="L18" s="19" t="inlineStr"/>
      <c r="M18" s="8" t="inlineStr">
        <is>
          <t>Not Run</t>
        </is>
      </c>
      <c r="N18" s="8" t="inlineStr"/>
      <c r="O18" s="19" t="inlineStr"/>
      <c r="P18" s="19" t="inlineStr"/>
      <c r="Q18" s="19" t="inlineStr"/>
    </row>
    <row r="19">
      <c r="A19" s="15" t="inlineStr">
        <is>
          <t>FX-017</t>
        </is>
      </c>
      <c r="B19" s="16" t="inlineStr">
        <is>
          <t>FX Revaluation</t>
        </is>
      </c>
      <c r="C19" s="16" t="inlineStr">
        <is>
          <t>FX.EXPOSURE.VIEW-only role cannot trigger preview or post (RBAC split)</t>
        </is>
      </c>
      <c r="D19" s="17" t="inlineStr">
        <is>
          <t>Permission</t>
        </is>
      </c>
      <c r="E19" s="17" t="inlineStr">
        <is>
          <t>High</t>
        </is>
      </c>
      <c r="F19" s="16" t="inlineStr">
        <is>
          <t>CUSTOM role with only FX.EXPOSURE.VIEW. Logged in as that user.</t>
        </is>
      </c>
      <c r="G19" s="16" t="inlineStr">
        <is>
          <t>1. Navigate to /admin/fx/revaluation-runs.
2. Confirm Preview and Post actions are not shown (canRevalue is false).
3. Call GET /api/v1/fx/revaluation-runs/preview directly — expect 403.
4. Call POST /api/v1/fx/revaluation-runs directly — expect 403.</t>
        </is>
      </c>
      <c r="H19" s="16" t="inlineStr">
        <is>
          <t>FX.EXPOSURE.VIEW-only user.</t>
        </is>
      </c>
      <c r="I19" s="16" t="inlineStr">
        <is>
          <t>List and read (GET) succeed. Preview/Post/Reverse actions hidden in UI. API calls to preview and post return 403. FX.REVALUE is required for those actions.</t>
        </is>
      </c>
      <c r="J19" s="16" t="inlineStr">
        <is>
          <t>/admin/fx/revaluation-runs</t>
        </is>
      </c>
      <c r="K19" s="16" t="inlineStr">
        <is>
          <t>FX.EXPOSURE.VIEW</t>
        </is>
      </c>
      <c r="L19" s="16" t="inlineStr"/>
      <c r="M19" s="17" t="inlineStr">
        <is>
          <t>Not Run</t>
        </is>
      </c>
      <c r="N19" s="17" t="inlineStr"/>
      <c r="O19" s="16" t="inlineStr"/>
      <c r="P19" s="16" t="inlineStr"/>
      <c r="Q19" s="16" t="inlineStr"/>
    </row>
    <row r="20">
      <c r="A20" s="18" t="inlineStr">
        <is>
          <t>FX-018</t>
        </is>
      </c>
      <c r="B20" s="19" t="inlineStr">
        <is>
          <t>FX Revaluation</t>
        </is>
      </c>
      <c r="C20" s="19" t="inlineStr">
        <is>
          <t>Status badges and gain/loss colours reflect run state correctly</t>
        </is>
      </c>
      <c r="D20" s="8" t="inlineStr">
        <is>
          <t>Positive</t>
        </is>
      </c>
      <c r="E20" s="8" t="inlineStr">
        <is>
          <t>Low</t>
        </is>
      </c>
      <c r="F20" s="19" t="inlineStr">
        <is>
          <t>Runs in POSTED and REVERSED states. A gain run and a loss run present. Logged in as ORG_ADMIN.</t>
        </is>
      </c>
      <c r="G20" s="19" t="inlineStr">
        <is>
          <t>1. Open /admin/fx/revaluation-runs.
2. Observe status badges: POSTED -&gt; success, REVERSED -&gt; secondary.
3. Observe net adjustment colour: positive -&gt; success, negative -&gt; danger.</t>
        </is>
      </c>
      <c r="H20" s="19" t="inlineStr">
        <is>
          <t>Mix of POSTED/REVERSED runs with positive and negative adjustments.</t>
        </is>
      </c>
      <c r="I20" s="19" t="inlineStr">
        <is>
          <t>Badge colours match documented statusBadgeClass. Amount colours match netAdjClass. Amounts formatted to 2 dp. Net 0 shows muted colour. Colour is NOT the only signal — text labels also present.</t>
        </is>
      </c>
      <c r="J20" s="19" t="inlineStr">
        <is>
          <t>/admin/fx/revaluation-runs</t>
        </is>
      </c>
      <c r="K20" s="19" t="inlineStr">
        <is>
          <t>FX.EXPOSURE.VIEW</t>
        </is>
      </c>
      <c r="L20" s="19" t="inlineStr"/>
      <c r="M20" s="8" t="inlineStr">
        <is>
          <t>Not Run</t>
        </is>
      </c>
      <c r="N20" s="8" t="inlineStr"/>
      <c r="O20" s="19" t="inlineStr"/>
      <c r="P20" s="19" t="inlineStr"/>
      <c r="Q20" s="19" t="inlineStr"/>
    </row>
    <row r="21">
      <c r="A21" s="15" t="inlineStr">
        <is>
          <t>FX-019</t>
        </is>
      </c>
      <c r="B21" s="16" t="inlineStr">
        <is>
          <t>FX Revaluation</t>
        </is>
      </c>
      <c r="C21" s="16" t="inlineStr">
        <is>
          <t>Multi-tenant isolation — company A cannot see or post company B FX data</t>
        </is>
      </c>
      <c r="D21" s="17" t="inlineStr">
        <is>
          <t>Negative</t>
        </is>
      </c>
      <c r="E21" s="17" t="inlineStr">
        <is>
          <t>High</t>
        </is>
      </c>
      <c r="F21" s="16" t="inlineStr">
        <is>
          <t>Two companies A and B. USD rate and a posted run exist in each. User assigned only to company A. Logged in as that user.</t>
        </is>
      </c>
      <c r="G21" s="16" t="inlineStr">
        <is>
          <t>1. List rates with companyId = A -&gt; only A's data shown.
2. Attempt to POST a rate with companyId = B.
3. Attempt preview/post with companyId = B.
4. Currencies (GET /fx/currencies) — confirm both companies can see them (global reference).</t>
        </is>
      </c>
      <c r="H21" s="16" t="inlineStr">
        <is>
          <t>Company A user, company B IDs.</t>
        </is>
      </c>
      <c r="I21" s="16" t="inlineStr">
        <is>
          <t>Rate rows and run rows scoped to company A only. assertCanActIn denies cross-company write/read (403). Currency master is the intentional global exception — visible to all companies with CURRENCY.VIEW.</t>
        </is>
      </c>
      <c r="J21" s="16" t="inlineStr">
        <is>
          <t>/admin/fx/rates</t>
        </is>
      </c>
      <c r="K21" s="16" t="inlineStr">
        <is>
          <t>CURRENCY.VIEW</t>
        </is>
      </c>
      <c r="L21" s="16" t="inlineStr"/>
      <c r="M21" s="17" t="inlineStr">
        <is>
          <t>Not Run</t>
        </is>
      </c>
      <c r="N21" s="17" t="inlineStr"/>
      <c r="O21" s="16" t="inlineStr"/>
      <c r="P21" s="16" t="inlineStr"/>
      <c r="Q21" s="16" t="inlineStr"/>
    </row>
  </sheetData>
  <autoFilter ref="A2:Q21"/>
  <mergeCells count="1">
    <mergeCell ref="A1:Q1"/>
  </mergeCells>
  <dataValidations count="4">
    <dataValidation sqref="D3:D21" showDropDown="0" showInputMessage="0" showErrorMessage="0" allowBlank="1" type="list">
      <formula1>"Positive,Negative,Permission,Edge"</formula1>
    </dataValidation>
    <dataValidation sqref="E3:E21" showDropDown="0" showInputMessage="0" showErrorMessage="0" allowBlank="1" type="list">
      <formula1>"High,Medium,Low"</formula1>
    </dataValidation>
    <dataValidation sqref="M3:M21" showDropDown="0" showInputMessage="0" showErrorMessage="0" allowBlank="1" type="list">
      <formula1>"Not Run,Pass,Fail,Blocked,N/A"</formula1>
    </dataValidation>
    <dataValidation sqref="N3:N21" showDropDown="0" showInputMessage="0" showErrorMessage="0" allowBlank="1" type="list">
      <formula1>"-,Critical,High,Medium,Low"</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25"/>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Reporting &amp; BI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BI-001</t>
        </is>
      </c>
      <c r="B3" s="16" t="inlineStr">
        <is>
          <t>Income Statement</t>
        </is>
      </c>
      <c r="C3" s="16" t="inlineStr">
        <is>
          <t>Income Statement renders sections, subtotals, and reconciled bar</t>
        </is>
      </c>
      <c r="D3" s="17" t="inlineStr">
        <is>
          <t>Positive</t>
        </is>
      </c>
      <c r="E3" s="17" t="inlineStr">
        <is>
          <t>High</t>
        </is>
      </c>
      <c r="F3" s="16" t="inlineStr">
        <is>
          <t>Company with posted journals across INCOME and EXPENSE accounts for Q1 2026. Logged in as ACCOUNTANT (has REPORT.PL.VIEW).</t>
        </is>
      </c>
      <c r="G3" s="16" t="inlineStr">
        <is>
          <t>1. Navigate to /admin/reporting/income-statement.
2. Choose company by name.
3. Set Period from: 2026-01-01, Period to: 2026-03-31.
4. Leave comparative blank.
5. Click Run.</t>
        </is>
      </c>
      <c r="H3" s="16" t="inlineStr">
        <is>
          <t>from: 2026-01-01, to: 2026-03-31. Company: Acme Trading Ltd.</t>
        </is>
      </c>
      <c r="I3" s="16" t="inlineStr">
        <is>
          <t>Table shows sections REVENUE, COST_OF_SALES, OPERATING_EXPENSES with detail lines, per-section subtotals, and tfoot rows Gross Profit and Net Profit. Green Reconciled alert (role=status) shown when books tie. Money to 2 dp. Negative net profit in danger styling. No UID in any cell.</t>
        </is>
      </c>
      <c r="J3" s="16" t="inlineStr">
        <is>
          <t>/admin/reporting/income-statement</t>
        </is>
      </c>
      <c r="K3" s="16" t="inlineStr">
        <is>
          <t>REPORT.PL.VIEW</t>
        </is>
      </c>
      <c r="L3" s="16" t="inlineStr"/>
      <c r="M3" s="17" t="inlineStr">
        <is>
          <t>Not Run</t>
        </is>
      </c>
      <c r="N3" s="17" t="inlineStr"/>
      <c r="O3" s="16" t="inlineStr"/>
      <c r="P3" s="16" t="inlineStr"/>
      <c r="Q3" s="16" t="inlineStr"/>
    </row>
    <row r="4">
      <c r="A4" s="18" t="inlineStr">
        <is>
          <t>BI-002</t>
        </is>
      </c>
      <c r="B4" s="19" t="inlineStr">
        <is>
          <t>Income Statement</t>
        </is>
      </c>
      <c r="C4" s="19" t="inlineStr">
        <is>
          <t>Income Statement comparative period populates fourth column</t>
        </is>
      </c>
      <c r="D4" s="8" t="inlineStr">
        <is>
          <t>Positive</t>
        </is>
      </c>
      <c r="E4" s="8" t="inlineStr">
        <is>
          <t>High</t>
        </is>
      </c>
      <c r="F4" s="19" t="inlineStr">
        <is>
          <t>Postings in both Q1 and Q2 2026. Logged in as ACCOUNTANT.</t>
        </is>
      </c>
      <c r="G4" s="19" t="inlineStr">
        <is>
          <t>1. Navigate to /admin/reporting/income-statement.
2. Set from/to = Q2 2026.
3. Set Comparative from/to = Q1 2026.
4. Click Run.</t>
        </is>
      </c>
      <c r="H4" s="19" t="inlineStr">
        <is>
          <t>from: 2026-04-01, to: 2026-06-30, cmpFrom: 2026-01-01, cmpTo: 2026-03-31.</t>
        </is>
      </c>
      <c r="I4" s="19" t="inlineStr">
        <is>
          <t>Comparative column header shows the prior period label. All detail lines carry both current and comparative amounts. Gross Profit and Net Profit tfoot rows carry both. cmpFrom/cmpTo params sent only when both are provided.</t>
        </is>
      </c>
      <c r="J4" s="19" t="inlineStr">
        <is>
          <t>/admin/reporting/income-statement</t>
        </is>
      </c>
      <c r="K4" s="19" t="inlineStr">
        <is>
          <t>REPORT.PL.VIEW</t>
        </is>
      </c>
      <c r="L4" s="19" t="inlineStr"/>
      <c r="M4" s="8" t="inlineStr">
        <is>
          <t>Not Run</t>
        </is>
      </c>
      <c r="N4" s="8" t="inlineStr"/>
      <c r="O4" s="19" t="inlineStr"/>
      <c r="P4" s="19" t="inlineStr"/>
      <c r="Q4" s="19" t="inlineStr"/>
    </row>
    <row r="5">
      <c r="A5" s="15" t="inlineStr">
        <is>
          <t>BI-003</t>
        </is>
      </c>
      <c r="B5" s="16" t="inlineStr">
        <is>
          <t>Income Statement</t>
        </is>
      </c>
      <c r="C5" s="16" t="inlineStr">
        <is>
          <t>Income Statement account line drill-through navigates to account ledger pre-filled</t>
        </is>
      </c>
      <c r="D5" s="17" t="inlineStr">
        <is>
          <t>Positive</t>
        </is>
      </c>
      <c r="E5" s="17" t="inlineStr">
        <is>
          <t>High</t>
        </is>
      </c>
      <c r="F5" s="16" t="inlineStr">
        <is>
          <t>Income statement with at least one real detail line (accountUid non-null). Logged in as ACCOUNTANT (has REPORT.PL.VIEW and REPORT.LEDGER.VIEW).</t>
        </is>
      </c>
      <c r="G5" s="16" t="inlineStr">
        <is>
          <t>1. Run the income statement.
2. Click the account name link in a revenue detail row (e.g. Sales Revenue).</t>
        </is>
      </c>
      <c r="H5" s="16" t="inlineStr">
        <is>
          <t>Account: Sales Revenue.</t>
        </is>
      </c>
      <c r="I5" s="16" t="inlineStr">
        <is>
          <t>Navigation to /admin/reporting/account-ledger?accountUid=&lt;uid&gt;&amp;fromDate=&lt;from&gt;&amp;toDate=&lt;to&gt;&amp;companyId=&lt;id&gt;. Ledger auto-runs. The link label is the human account name. No raw UID shown as text. A synthetic equity-fold line with null accountUid renders as plain text, not a link.</t>
        </is>
      </c>
      <c r="J5" s="16" t="inlineStr">
        <is>
          <t>/admin/reporting/income-statement</t>
        </is>
      </c>
      <c r="K5" s="16" t="inlineStr">
        <is>
          <t>REPORT.PL.VIEW</t>
        </is>
      </c>
      <c r="L5" s="16" t="inlineStr"/>
      <c r="M5" s="17" t="inlineStr">
        <is>
          <t>Not Run</t>
        </is>
      </c>
      <c r="N5" s="17" t="inlineStr"/>
      <c r="O5" s="16" t="inlineStr"/>
      <c r="P5" s="16" t="inlineStr"/>
      <c r="Q5" s="16" t="inlineStr"/>
    </row>
    <row r="6">
      <c r="A6" s="18" t="inlineStr">
        <is>
          <t>BI-004</t>
        </is>
      </c>
      <c r="B6" s="19" t="inlineStr">
        <is>
          <t>Income Statement</t>
        </is>
      </c>
      <c r="C6" s="19" t="inlineStr">
        <is>
          <t>Income Statement export to PDF, XLSX, CSV gated by REPORT.EXPORT</t>
        </is>
      </c>
      <c r="D6" s="8" t="inlineStr">
        <is>
          <t>Positive</t>
        </is>
      </c>
      <c r="E6" s="8" t="inlineStr">
        <is>
          <t>High</t>
        </is>
      </c>
      <c r="F6" s="19" t="inlineStr">
        <is>
          <t>Income statement run complete. Logged in as ACCOUNTANT (has REPORT.EXPORT). Also test as a role without REPORT.EXPORT.</t>
        </is>
      </c>
      <c r="G6" s="19" t="inlineStr">
        <is>
          <t>1. Run the statement.
2. Click PDF in the export toolbar.
3. Re-run and click Excel.
4. Re-run and click CSV.</t>
        </is>
      </c>
      <c r="H6" s="19" t="inlineStr">
        <is>
          <t>ExportFormat: PDF, XLSX, CSV.</t>
        </is>
      </c>
      <c r="I6" s="19" t="inlineStr">
        <is>
          <t>Each click triggers a file download: income-statement_&lt;from&gt;_&lt;to&gt;.&lt;ext&gt;. Request carries format=PDF|XLSX|CSV. Button shows exporting state while in flight. A role without REPORT.EXPORT sees no export buttons. Backend /income-statement/export returns 403 for that role.</t>
        </is>
      </c>
      <c r="J6" s="19" t="inlineStr">
        <is>
          <t>/admin/reporting/income-statement</t>
        </is>
      </c>
      <c r="K6" s="19" t="inlineStr">
        <is>
          <t>REPORT.EXPORT</t>
        </is>
      </c>
      <c r="L6" s="19" t="inlineStr"/>
      <c r="M6" s="8" t="inlineStr">
        <is>
          <t>Not Run</t>
        </is>
      </c>
      <c r="N6" s="8" t="inlineStr"/>
      <c r="O6" s="19" t="inlineStr"/>
      <c r="P6" s="19" t="inlineStr"/>
      <c r="Q6" s="19" t="inlineStr"/>
    </row>
    <row r="7">
      <c r="A7" s="15" t="inlineStr">
        <is>
          <t>BI-005</t>
        </is>
      </c>
      <c r="B7" s="16" t="inlineStr">
        <is>
          <t>Income Statement</t>
        </is>
      </c>
      <c r="C7" s="16" t="inlineStr">
        <is>
          <t>Income Statement forbidden for user without REPORT.PL.VIEW</t>
        </is>
      </c>
      <c r="D7" s="17" t="inlineStr">
        <is>
          <t>Permission</t>
        </is>
      </c>
      <c r="E7" s="17" t="inlineStr">
        <is>
          <t>High</t>
        </is>
      </c>
      <c r="F7" s="16" t="inlineStr">
        <is>
          <t>A user with no permissions. Logged in as that user.</t>
        </is>
      </c>
      <c r="G7" s="16" t="inlineStr">
        <is>
          <t>1. Navigate to /admin/reporting/income-statement.
2. Observe nav item visibility and route access.</t>
        </is>
      </c>
      <c r="H7" s="16" t="inlineStr">
        <is>
          <t>No-permission user.</t>
        </is>
      </c>
      <c r="I7" s="16" t="inlineStr">
        <is>
          <t>The Income Statement nav item is hidden. Direct navigation shows the forbidden permission message. GET /api/v1/reports/income-statement returns 403.</t>
        </is>
      </c>
      <c r="J7" s="16" t="inlineStr">
        <is>
          <t>/admin/reporting/income-statement</t>
        </is>
      </c>
      <c r="K7" s="16" t="inlineStr">
        <is>
          <t>REPORT.PL.VIEW</t>
        </is>
      </c>
      <c r="L7" s="16" t="inlineStr"/>
      <c r="M7" s="17" t="inlineStr">
        <is>
          <t>Not Run</t>
        </is>
      </c>
      <c r="N7" s="17" t="inlineStr"/>
      <c r="O7" s="16" t="inlineStr"/>
      <c r="P7" s="16" t="inlineStr"/>
      <c r="Q7" s="16" t="inlineStr"/>
    </row>
    <row r="8">
      <c r="A8" s="18" t="inlineStr">
        <is>
          <t>BI-006</t>
        </is>
      </c>
      <c r="B8" s="19" t="inlineStr">
        <is>
          <t>Balance Sheet</t>
        </is>
      </c>
      <c r="C8" s="19" t="inlineStr">
        <is>
          <t>Balance Sheet renders asset, liability, equity sections and reconciles</t>
        </is>
      </c>
      <c r="D8" s="8" t="inlineStr">
        <is>
          <t>Positive</t>
        </is>
      </c>
      <c r="E8" s="8" t="inlineStr">
        <is>
          <t>High</t>
        </is>
      </c>
      <c r="F8" s="19" t="inlineStr">
        <is>
          <t>Company with a balanced set of books as at 2026-06-30. Logged in as ACCOUNTANT (has REPORT.BS.VIEW).</t>
        </is>
      </c>
      <c r="G8" s="19" t="inlineStr">
        <is>
          <t>1. Navigate to /admin/reporting/balance-sheet.
2. Choose company by name.
3. Set As-at date: 2026-06-30.
4. Click Run.</t>
        </is>
      </c>
      <c r="H8" s="19" t="inlineStr">
        <is>
          <t>asAtDate: 2026-06-30.</t>
        </is>
      </c>
      <c r="I8" s="19" t="inlineStr">
        <is>
          <t>Sections CURRENT_ASSETS, NON_CURRENT_ASSETS, CURRENT_LIABILITIES, NON_CURRENT_LIABILITIES, EQUITY with subtotals and totals for Total Assets, Total Liabilities, Total Equity. Green Reconciled bar when Total Assets = Total Liabilities + Total Equity. An all-zero period still balances (ties=true).</t>
        </is>
      </c>
      <c r="J8" s="19" t="inlineStr">
        <is>
          <t>/admin/reporting/balance-sheet</t>
        </is>
      </c>
      <c r="K8" s="19" t="inlineStr">
        <is>
          <t>REPORT.BS.VIEW</t>
        </is>
      </c>
      <c r="L8" s="19" t="inlineStr"/>
      <c r="M8" s="8" t="inlineStr">
        <is>
          <t>Not Run</t>
        </is>
      </c>
      <c r="N8" s="8" t="inlineStr"/>
      <c r="O8" s="19" t="inlineStr"/>
      <c r="P8" s="19" t="inlineStr"/>
      <c r="Q8" s="19" t="inlineStr"/>
    </row>
    <row r="9">
      <c r="A9" s="15" t="inlineStr">
        <is>
          <t>BI-007</t>
        </is>
      </c>
      <c r="B9" s="16" t="inlineStr">
        <is>
          <t>Balance Sheet</t>
        </is>
      </c>
      <c r="C9" s="16" t="inlineStr">
        <is>
          <t>Balance Sheet data-integrity alarm when reconciliation fails (ties=false)</t>
        </is>
      </c>
      <c r="D9" s="17" t="inlineStr">
        <is>
          <t>Edge</t>
        </is>
      </c>
      <c r="E9" s="17" t="inlineStr">
        <is>
          <t>Medium</t>
        </is>
      </c>
      <c r="F9" s="16" t="inlineStr">
        <is>
          <t>A fixture where Total Assets != Total Liabilities + Total Equity. Logged in as ACCOUNTANT.</t>
        </is>
      </c>
      <c r="G9" s="16" t="inlineStr">
        <is>
          <t>1. Run the balance sheet against the broken fixture.</t>
        </is>
      </c>
      <c r="H9" s="16" t="inlineStr">
        <is>
          <t>Deliberately unbalanced books fixture.</t>
        </is>
      </c>
      <c r="I9" s="16" t="inlineStr">
        <is>
          <t>A red alert-danger: 'Data integrity alarm — &lt;label&gt; (difference: &lt;amount&gt;). Investigate the books.' replaces the green reconciled bar. The statement is still shown. Nothing is auto-corrected (read-only — BR-REP-08).</t>
        </is>
      </c>
      <c r="J9" s="16" t="inlineStr">
        <is>
          <t>/admin/reporting/balance-sheet</t>
        </is>
      </c>
      <c r="K9" s="16" t="inlineStr">
        <is>
          <t>REPORT.BS.VIEW</t>
        </is>
      </c>
      <c r="L9" s="16" t="inlineStr"/>
      <c r="M9" s="17" t="inlineStr">
        <is>
          <t>Not Run</t>
        </is>
      </c>
      <c r="N9" s="17" t="inlineStr"/>
      <c r="O9" s="16" t="inlineStr"/>
      <c r="P9" s="16" t="inlineStr"/>
      <c r="Q9" s="16" t="inlineStr"/>
    </row>
    <row r="10">
      <c r="A10" s="18" t="inlineStr">
        <is>
          <t>BI-008</t>
        </is>
      </c>
      <c r="B10" s="19" t="inlineStr">
        <is>
          <t>Balance Sheet</t>
        </is>
      </c>
      <c r="C10" s="19" t="inlineStr">
        <is>
          <t>Balance Sheet export PDF, XLSX, CSV gated by REPORT.EXPORT</t>
        </is>
      </c>
      <c r="D10" s="8" t="inlineStr">
        <is>
          <t>Positive</t>
        </is>
      </c>
      <c r="E10" s="8" t="inlineStr">
        <is>
          <t>Medium</t>
        </is>
      </c>
      <c r="F10" s="19" t="inlineStr">
        <is>
          <t>Balance sheet run complete. Logged in as ACCOUNTANT (has REPORT.EXPORT).</t>
        </is>
      </c>
      <c r="G10" s="19" t="inlineStr">
        <is>
          <t>1. Run the balance sheet.
2. Export as PDF, then XLSX, then CSV.</t>
        </is>
      </c>
      <c r="H10" s="19" t="inlineStr">
        <is>
          <t>ExportFormat: PDF, XLSX, CSV.</t>
        </is>
      </c>
      <c r="I10" s="19" t="inlineStr">
        <is>
          <t>Each downloads as balance-sheet_&lt;asAt&gt;.&lt;ext&gt;. Request includes asAtDate, optional compareAsAt, and format. Role without REPORT.EXPORT sees no export buttons and API returns 403.</t>
        </is>
      </c>
      <c r="J10" s="19" t="inlineStr">
        <is>
          <t>/admin/reporting/balance-sheet</t>
        </is>
      </c>
      <c r="K10" s="19" t="inlineStr">
        <is>
          <t>REPORT.EXPORT</t>
        </is>
      </c>
      <c r="L10" s="19" t="inlineStr"/>
      <c r="M10" s="8" t="inlineStr">
        <is>
          <t>Not Run</t>
        </is>
      </c>
      <c r="N10" s="8" t="inlineStr"/>
      <c r="O10" s="19" t="inlineStr"/>
      <c r="P10" s="19" t="inlineStr"/>
      <c r="Q10" s="19" t="inlineStr"/>
    </row>
    <row r="11">
      <c r="A11" s="15" t="inlineStr">
        <is>
          <t>BI-009</t>
        </is>
      </c>
      <c r="B11" s="16" t="inlineStr">
        <is>
          <t>Cash Flow Statement</t>
        </is>
      </c>
      <c r="C11" s="16" t="inlineStr">
        <is>
          <t>Cash-Flow Statement renders OPERATING, INVESTING, FINANCING sections and net change</t>
        </is>
      </c>
      <c r="D11" s="17" t="inlineStr">
        <is>
          <t>Positive</t>
        </is>
      </c>
      <c r="E11" s="17" t="inlineStr">
        <is>
          <t>High</t>
        </is>
      </c>
      <c r="F11" s="16" t="inlineStr">
        <is>
          <t>Company with cash movements in H1 2026. Logged in as ACCOUNTANT (has REPORT.CASHFLOW.VIEW).</t>
        </is>
      </c>
      <c r="G11" s="16" t="inlineStr">
        <is>
          <t>1. Navigate to /admin/reporting/cash-flow.
2. Choose company by name.
3. Set from: 2026-01-01, to: 2026-06-30.
4. Click Run.</t>
        </is>
      </c>
      <c r="H11" s="16" t="inlineStr">
        <is>
          <t>from: 2026-01-01, to: 2026-06-30.</t>
        </is>
      </c>
      <c r="I11" s="16" t="inlineStr">
        <is>
          <t>Sections OPERATING, INVESTING, FINANCING each with line items. Totals for Opening Cash, Net Change in Cash, Closing Cash. Green Reconciled bar when net change matches delta of cash-equivalent GL accounts. Comparative column absent when not provided. No-permission user sees 403/forbidden.</t>
        </is>
      </c>
      <c r="J11" s="16" t="inlineStr">
        <is>
          <t>/admin/reporting/cash-flow</t>
        </is>
      </c>
      <c r="K11" s="16" t="inlineStr">
        <is>
          <t>REPORT.CASHFLOW.VIEW</t>
        </is>
      </c>
      <c r="L11" s="16" t="inlineStr"/>
      <c r="M11" s="17" t="inlineStr">
        <is>
          <t>Not Run</t>
        </is>
      </c>
      <c r="N11" s="17" t="inlineStr"/>
      <c r="O11" s="16" t="inlineStr"/>
      <c r="P11" s="16" t="inlineStr"/>
      <c r="Q11" s="16" t="inlineStr"/>
    </row>
    <row r="12">
      <c r="A12" s="18" t="inlineStr">
        <is>
          <t>BI-010</t>
        </is>
      </c>
      <c r="B12" s="19" t="inlineStr">
        <is>
          <t>Account Ledger</t>
        </is>
      </c>
      <c r="C12" s="19" t="inlineStr">
        <is>
          <t>Account Ledger drill-down shows opening balance, running lines, closing balance</t>
        </is>
      </c>
      <c r="D12" s="8" t="inlineStr">
        <is>
          <t>Positive</t>
        </is>
      </c>
      <c r="E12" s="8" t="inlineStr">
        <is>
          <t>High</t>
        </is>
      </c>
      <c r="F12" s="19" t="inlineStr">
        <is>
          <t>A GL account with at least one posted journal line in Q1 2026. Logged in as ACCOUNTANT (has REPORT.LEDGER.VIEW).</t>
        </is>
      </c>
      <c r="G12" s="19" t="inlineStr">
        <is>
          <t>1. Navigate to /admin/reporting/account-ledger.
2. Choose company by name.
3. In the account picker, select account Bank — Main Current by name.
4. Set from: 2026-01-01, to: 2026-06-30.
5. Click Run.</t>
        </is>
      </c>
      <c r="H12" s="19" t="inlineStr">
        <is>
          <t>Account: Bank — Main Current (code 1100). Period: 2026-01-01 to 2026-06-30.</t>
        </is>
      </c>
      <c r="I12" s="19" t="inlineStr">
        <is>
          <t>Screen shows account code + name header. Opening balance as-at fromDate-1. Running journal lines with running balance column (negatives in danger). Closing balance as-at toDate. Account selected by name via uid-picker — no UID typed or visible on screen.</t>
        </is>
      </c>
      <c r="J12" s="19" t="inlineStr">
        <is>
          <t>/admin/reporting/account-ledger</t>
        </is>
      </c>
      <c r="K12" s="19" t="inlineStr">
        <is>
          <t>REPORT.LEDGER.VIEW</t>
        </is>
      </c>
      <c r="L12" s="19" t="inlineStr"/>
      <c r="M12" s="8" t="inlineStr">
        <is>
          <t>Not Run</t>
        </is>
      </c>
      <c r="N12" s="8" t="inlineStr"/>
      <c r="O12" s="19" t="inlineStr"/>
      <c r="P12" s="19" t="inlineStr"/>
      <c r="Q12" s="19" t="inlineStr"/>
    </row>
    <row r="13">
      <c r="A13" s="15" t="inlineStr">
        <is>
          <t>BI-011</t>
        </is>
      </c>
      <c r="B13" s="16" t="inlineStr">
        <is>
          <t>Account Ledger</t>
        </is>
      </c>
      <c r="C13" s="16" t="inlineStr">
        <is>
          <t>Account Ledger pagination — more than 50 lines shows multiple pages</t>
        </is>
      </c>
      <c r="D13" s="17" t="inlineStr">
        <is>
          <t>Positive</t>
        </is>
      </c>
      <c r="E13" s="17" t="inlineStr">
        <is>
          <t>High</t>
        </is>
      </c>
      <c r="F13" s="16" t="inlineStr">
        <is>
          <t>An account with more than 50 journal lines in the period. Logged in as ACCOUNTANT.</t>
        </is>
      </c>
      <c r="G13" s="16" t="inlineStr">
        <is>
          <t>1. Run the ledger for the busy account.
2. Use paginator: NEXT, page numbers, PREVIOUS, FIRST, LAST.</t>
        </is>
      </c>
      <c r="H13" s="16" t="inlineStr">
        <is>
          <t>Account with 130 lines -&gt; 3 pages (50/50/30).</t>
        </is>
      </c>
      <c r="I13" s="16" t="inlineStr">
        <is>
          <t>Page 1 shows 50 rows. NEXT loads page 2 (rows 51-100). LAST loads the final page. Each navigation re-fetches. PageMeta reports totalPages=3, hasNext=true on pages 0-1. Paginator self-hides for accounts with 50 or fewer lines.</t>
        </is>
      </c>
      <c r="J13" s="16" t="inlineStr">
        <is>
          <t>/admin/reporting/account-ledger</t>
        </is>
      </c>
      <c r="K13" s="16" t="inlineStr">
        <is>
          <t>REPORT.LEDGER.VIEW</t>
        </is>
      </c>
      <c r="L13" s="16" t="inlineStr"/>
      <c r="M13" s="17" t="inlineStr">
        <is>
          <t>Not Run</t>
        </is>
      </c>
      <c r="N13" s="17" t="inlineStr"/>
      <c r="O13" s="16" t="inlineStr"/>
      <c r="P13" s="16" t="inlineStr"/>
      <c r="Q13" s="16" t="inlineStr"/>
    </row>
    <row r="14">
      <c r="A14" s="18" t="inlineStr">
        <is>
          <t>BI-012</t>
        </is>
      </c>
      <c r="B14" s="19" t="inlineStr">
        <is>
          <t>Account Ledger</t>
        </is>
      </c>
      <c r="C14" s="19" t="inlineStr">
        <is>
          <t>Account Ledger export bounded at 10000 rows — gated by REPORT.EXPORT</t>
        </is>
      </c>
      <c r="D14" s="8" t="inlineStr">
        <is>
          <t>Edge</t>
        </is>
      </c>
      <c r="E14" s="8" t="inlineStr">
        <is>
          <t>Medium</t>
        </is>
      </c>
      <c r="F14" s="19" t="inlineStr">
        <is>
          <t>An account with more than 10000 lines. Logged in as ACCOUNTANT (has REPORT.EXPORT).</t>
        </is>
      </c>
      <c r="G14" s="19" t="inlineStr">
        <is>
          <t>1. Run the ledger for the long account.
2. Export as PDF, XLSX, CSV.</t>
        </is>
      </c>
      <c r="H14" s="19" t="inlineStr">
        <is>
          <t>Account with 10001+ lines.</t>
        </is>
      </c>
      <c r="I14" s="19" t="inlineStr">
        <is>
          <t>Each export triggers a download: account-ledger_&lt;code&gt;_&lt;from&gt;_&lt;to&gt;.&lt;ext&gt;. The export pulls a single bounded page of size 10000 (LEDGER_EXPORT_MAX_ROWS). A 10001-line ledger exports only the first 10000 rows. Role without REPORT.EXPORT: no export controls and API returns 403.</t>
        </is>
      </c>
      <c r="J14" s="19" t="inlineStr">
        <is>
          <t>/admin/reporting/account-ledger</t>
        </is>
      </c>
      <c r="K14" s="19" t="inlineStr">
        <is>
          <t>REPORT.EXPORT</t>
        </is>
      </c>
      <c r="L14" s="19" t="inlineStr"/>
      <c r="M14" s="8" t="inlineStr">
        <is>
          <t>Not Run</t>
        </is>
      </c>
      <c r="N14" s="8" t="inlineStr"/>
      <c r="O14" s="19" t="inlineStr"/>
      <c r="P14" s="19" t="inlineStr"/>
      <c r="Q14" s="19" t="inlineStr"/>
    </row>
    <row r="15">
      <c r="A15" s="15" t="inlineStr">
        <is>
          <t>BI-013</t>
        </is>
      </c>
      <c r="B15" s="16" t="inlineStr">
        <is>
          <t>BI Dashboard</t>
        </is>
      </c>
      <c r="C15" s="16" t="inlineStr">
        <is>
          <t>BI Dashboard loads all panels for a full-permission user</t>
        </is>
      </c>
      <c r="D15" s="17" t="inlineStr">
        <is>
          <t>Positive</t>
        </is>
      </c>
      <c r="E15" s="17" t="inlineStr">
        <is>
          <t>High</t>
        </is>
      </c>
      <c r="F15" s="16" t="inlineStr">
        <is>
          <t>Company with finance, cash, AR/AP, inventory, and CRM data. Logged in as ORG_ADMIN (has BI.VIEW + BI.FINANCE.VIEW + BI.OPS.VIEW + BI.CRM.VIEW).</t>
        </is>
      </c>
      <c r="G15" s="16" t="inlineStr">
        <is>
          <t>1. Navigate to /admin/dashboard.
2. Wait for company and branch to auto-select and the composite GET /bi/dashboard to resolve.</t>
        </is>
      </c>
      <c r="H15" s="16" t="inlineStr">
        <is>
          <t>Company with data across all panel types.</t>
        </is>
      </c>
      <c r="I15" s="16" t="inlineStr">
        <is>
          <t>Health strip renders (role=status) with AR/AP/Cash/Stock/TB badges using [OK]/[!] text prefixes. Finance stat-cards, Cash Position, Working Capital, Inventory, CRM pipeline bars and KPIs, Revenue Trend (12 bars), Net Profit Trend all populate. Money formatted to 2 dp. [OK]/[!] text cues present for accessibility.</t>
        </is>
      </c>
      <c r="J15" s="16" t="inlineStr">
        <is>
          <t>/admin/dashboard</t>
        </is>
      </c>
      <c r="K15" s="16" t="inlineStr">
        <is>
          <t>BI.VIEW</t>
        </is>
      </c>
      <c r="L15" s="16" t="inlineStr"/>
      <c r="M15" s="17" t="inlineStr">
        <is>
          <t>Not Run</t>
        </is>
      </c>
      <c r="N15" s="17" t="inlineStr"/>
      <c r="O15" s="16" t="inlineStr"/>
      <c r="P15" s="16" t="inlineStr"/>
      <c r="Q15" s="16" t="inlineStr"/>
    </row>
    <row r="16">
      <c r="A16" s="18" t="inlineStr">
        <is>
          <t>BI-014</t>
        </is>
      </c>
      <c r="B16" s="19" t="inlineStr">
        <is>
          <t>BI Dashboard</t>
        </is>
      </c>
      <c r="C16" s="19" t="inlineStr">
        <is>
          <t>BI Dashboard graceful per-panel forbidden for partial-permission role</t>
        </is>
      </c>
      <c r="D16" s="8" t="inlineStr">
        <is>
          <t>Permission</t>
        </is>
      </c>
      <c r="E16" s="8" t="inlineStr">
        <is>
          <t>High</t>
        </is>
      </c>
      <c r="F16" s="19" t="inlineStr">
        <is>
          <t>CUSTOM role with BI.VIEW + BI.FINANCE.VIEW ONLY (lacks BI.OPS.VIEW and BI.CRM.VIEW). Logged in as that user.</t>
        </is>
      </c>
      <c r="G16" s="19" t="inlineStr">
        <is>
          <t>1. Log in as the partial-permission user.
2. Navigate to /admin/dashboard.
3. Observe each panel state.</t>
        </is>
      </c>
      <c r="H16" s="19" t="inlineStr">
        <is>
          <t>CUSTOM role: BI.VIEW + BI.FINANCE.VIEW.</t>
        </is>
      </c>
      <c r="I16" s="19" t="inlineStr">
        <is>
          <t>Finance, Working Capital, Cash, and trend panels render normally. Inventory panel shows 'You do not have permission to view inventory KPIs' (per-panel forbidden — NOT whole-page 403). CRM panel shows 'You do not have permission to view CRM KPIs'. Backend returns composite with inventory=null, crm=null.</t>
        </is>
      </c>
      <c r="J16" s="19" t="inlineStr">
        <is>
          <t>/admin/dashboard</t>
        </is>
      </c>
      <c r="K16" s="19" t="inlineStr">
        <is>
          <t>BI.VIEW</t>
        </is>
      </c>
      <c r="L16" s="19" t="inlineStr"/>
      <c r="M16" s="8" t="inlineStr">
        <is>
          <t>Not Run</t>
        </is>
      </c>
      <c r="N16" s="8" t="inlineStr"/>
      <c r="O16" s="19" t="inlineStr"/>
      <c r="P16" s="19" t="inlineStr"/>
      <c r="Q16" s="19" t="inlineStr"/>
    </row>
    <row r="17">
      <c r="A17" s="15" t="inlineStr">
        <is>
          <t>BI-015</t>
        </is>
      </c>
      <c r="B17" s="16" t="inlineStr">
        <is>
          <t>BI Dashboard</t>
        </is>
      </c>
      <c r="C17" s="16" t="inlineStr">
        <is>
          <t>BI Dashboard branch filter re-fetches all panels</t>
        </is>
      </c>
      <c r="D17" s="17" t="inlineStr">
        <is>
          <t>Positive</t>
        </is>
      </c>
      <c r="E17" s="17" t="inlineStr">
        <is>
          <t>Medium</t>
        </is>
      </c>
      <c r="F17" s="16" t="inlineStr">
        <is>
          <t>Company with 2+ branches and branch-scoped CRM and finance data. Logged in as ORG_ADMIN.</t>
        </is>
      </c>
      <c r="G17" s="16" t="inlineStr">
        <is>
          <t>1. Open /admin/dashboard.
2. Change Branch in the branch picker (by code — name).
3. Observe panels reload.
4. Change From/To dates and click Refresh.</t>
        </is>
      </c>
      <c r="H17" s="16" t="inlineStr">
        <is>
          <t>Multi-branch company. Branch picker selection.</t>
        </is>
      </c>
      <c r="I17" s="16" t="inlineStr">
        <is>
          <t>Changing branch calls loadDashboard(); all panels reset to loading then re-fetch. Composite request includes branchId, from, to. Data updates per branch selection. Branch filter only affects the Sales-by-branch/CRM panel data — the Finance panel shows company-wide data regardless of branch selection. Company with no branches shows '-- no branches --' but dashboard still loads company-wide.</t>
        </is>
      </c>
      <c r="J17" s="16" t="inlineStr">
        <is>
          <t>/admin/dashboard</t>
        </is>
      </c>
      <c r="K17" s="16" t="inlineStr">
        <is>
          <t>BI.VIEW</t>
        </is>
      </c>
      <c r="L17" s="16" t="inlineStr"/>
      <c r="M17" s="17" t="inlineStr">
        <is>
          <t>Not Run</t>
        </is>
      </c>
      <c r="N17" s="17" t="inlineStr"/>
      <c r="O17" s="16" t="inlineStr"/>
      <c r="P17" s="16" t="inlineStr"/>
      <c r="Q17" s="16" t="inlineStr"/>
    </row>
    <row r="18">
      <c r="A18" s="18" t="inlineStr">
        <is>
          <t>BI-016</t>
        </is>
      </c>
      <c r="B18" s="19" t="inlineStr">
        <is>
          <t>BI Dashboard</t>
        </is>
      </c>
      <c r="C18" s="19" t="inlineStr">
        <is>
          <t>BI Dashboard export to PDF, XLSX, CSV gated by BI.EXPORT</t>
        </is>
      </c>
      <c r="D18" s="8" t="inlineStr">
        <is>
          <t>Positive</t>
        </is>
      </c>
      <c r="E18" s="8" t="inlineStr">
        <is>
          <t>Medium</t>
        </is>
      </c>
      <c r="F18" s="19" t="inlineStr">
        <is>
          <t>Dashboard loaded. Logged in as ORG_ADMIN (has BI.EXPORT).</t>
        </is>
      </c>
      <c r="G18" s="19" t="inlineStr">
        <is>
          <t>1. Open the dashboard.
2. Choose format PDF in the export select; click Download.
3. Repeat for Excel and CSV.</t>
        </is>
      </c>
      <c r="H18" s="19" t="inlineStr">
        <is>
          <t>ExportFormat: PDF, XLSX, CSV.</t>
        </is>
      </c>
      <c r="I18" s="19" t="inlineStr">
        <is>
          <t>File dashboard.&lt;ext&gt; downloads for each format. Request carries companyId, optional branchId/from/to, and format. Export block absent for a role without BI.EXPORT. Backend /dashboard/export returns 403 for that role. Double-click guarded by exporting() signal.</t>
        </is>
      </c>
      <c r="J18" s="19" t="inlineStr">
        <is>
          <t>/admin/dashboard</t>
        </is>
      </c>
      <c r="K18" s="19" t="inlineStr">
        <is>
          <t>BI.EXPORT</t>
        </is>
      </c>
      <c r="L18" s="19" t="inlineStr"/>
      <c r="M18" s="8" t="inlineStr">
        <is>
          <t>Not Run</t>
        </is>
      </c>
      <c r="N18" s="8" t="inlineStr"/>
      <c r="O18" s="19" t="inlineStr"/>
      <c r="P18" s="19" t="inlineStr"/>
      <c r="Q18" s="19" t="inlineStr"/>
    </row>
    <row r="19">
      <c r="A19" s="15" t="inlineStr">
        <is>
          <t>BI-017</t>
        </is>
      </c>
      <c r="B19" s="16" t="inlineStr">
        <is>
          <t>BI Dashboard</t>
        </is>
      </c>
      <c r="C19" s="16" t="inlineStr">
        <is>
          <t>BI Dashboard route blocked for user without BI.VIEW</t>
        </is>
      </c>
      <c r="D19" s="17" t="inlineStr">
        <is>
          <t>Permission</t>
        </is>
      </c>
      <c r="E19" s="17" t="inlineStr">
        <is>
          <t>High</t>
        </is>
      </c>
      <c r="F19" s="16" t="inlineStr">
        <is>
          <t>No-permission user. Logged in as that user.</t>
        </is>
      </c>
      <c r="G19" s="16" t="inlineStr">
        <is>
          <t>1. Inspect sidebar — confirm Dashboard nav item is absent.
2. Attempt direct navigation to /admin/dashboard.</t>
        </is>
      </c>
      <c r="H19" s="16" t="inlineStr">
        <is>
          <t>No-permission user.</t>
        </is>
      </c>
      <c r="I19" s="16" t="inlineStr">
        <is>
          <t>Dashboard nav item not shown. Route guard (requirePermission('BI.VIEW')) blocks entry. All panel endpoints return 403 if hit directly. applyGlobalError marks every panel forbidden.</t>
        </is>
      </c>
      <c r="J19" s="16" t="inlineStr">
        <is>
          <t>/admin/dashboard</t>
        </is>
      </c>
      <c r="K19" s="16" t="inlineStr">
        <is>
          <t>BI.VIEW</t>
        </is>
      </c>
      <c r="L19" s="16" t="inlineStr"/>
      <c r="M19" s="17" t="inlineStr">
        <is>
          <t>Not Run</t>
        </is>
      </c>
      <c r="N19" s="17" t="inlineStr"/>
      <c r="O19" s="16" t="inlineStr"/>
      <c r="P19" s="16" t="inlineStr"/>
      <c r="Q19" s="16" t="inlineStr"/>
    </row>
    <row r="20">
      <c r="A20" s="18" t="inlineStr">
        <is>
          <t>BI-018</t>
        </is>
      </c>
      <c r="B20" s="19" t="inlineStr">
        <is>
          <t>Budget Variance Report</t>
        </is>
      </c>
      <c r="C20" s="19" t="inlineStr">
        <is>
          <t>Budget Variance report runs for full year showing budget, actual, variance, favourable/adverse labels</t>
        </is>
      </c>
      <c r="D20" s="8" t="inlineStr">
        <is>
          <t>Positive</t>
        </is>
      </c>
      <c r="E20" s="8" t="inlineStr">
        <is>
          <t>High</t>
        </is>
      </c>
      <c r="F20" s="19" t="inlineStr">
        <is>
          <t>An APPROVED budget + posted GL actuals for the fiscal year. Logged in as ORG_ADMIN (has BUDGETING.REPORT.VIEW).</t>
        </is>
      </c>
      <c r="G20" s="19" t="inlineStr">
        <is>
          <t>1. Navigate to /admin/budgeting/variance.
2. Choose company by name.
3. Enter Fiscal Year UID (free-text field).
4. Leave from=1, to=12; account type = All account types.
5. Click Run.</t>
        </is>
      </c>
      <c r="H20" s="19" t="inlineStr">
        <is>
          <t>Fiscal Year UID: &lt;seeded FY uid&gt;. Periods 1-12.</t>
        </is>
      </c>
      <c r="I20" s="19" t="inlineStr">
        <is>
          <t>Variance table shows per-account rows: budget, actual, variance (actual - budget), variancePct (null when budget=0), and favourable/adverse label. INCOME: actual &gt; budget = Favourable. EXPENSE: actual &lt; budget = Favourable. ASSET/LIAB/EQUITY = neutral. Totals per account type.</t>
        </is>
      </c>
      <c r="J20" s="19" t="inlineStr">
        <is>
          <t>/admin/budgeting/variance</t>
        </is>
      </c>
      <c r="K20" s="19" t="inlineStr">
        <is>
          <t>BUDGETING.REPORT.VIEW</t>
        </is>
      </c>
      <c r="L20" s="19" t="inlineStr"/>
      <c r="M20" s="8" t="inlineStr">
        <is>
          <t>Not Run</t>
        </is>
      </c>
      <c r="N20" s="8" t="inlineStr"/>
      <c r="O20" s="19" t="inlineStr"/>
      <c r="P20" s="19" t="inlineStr"/>
      <c r="Q20" s="19" t="inlineStr"/>
    </row>
    <row r="21">
      <c r="A21" s="15" t="inlineStr">
        <is>
          <t>BI-019</t>
        </is>
      </c>
      <c r="B21" s="16" t="inlineStr">
        <is>
          <t>Budget Variance Report</t>
        </is>
      </c>
      <c r="C21" s="16" t="inlineStr">
        <is>
          <t>Budget Variance report shows noApprovedBudget flag when no approved version exists</t>
        </is>
      </c>
      <c r="D21" s="17" t="inlineStr">
        <is>
          <t>Edge</t>
        </is>
      </c>
      <c r="E21" s="17" t="inlineStr">
        <is>
          <t>High</t>
        </is>
      </c>
      <c r="F21" s="16" t="inlineStr">
        <is>
          <t>A fiscal year with actuals but only DRAFT or SUBMITTED budget versions (none APPROVED). Logged in as ORG_ADMIN.</t>
        </is>
      </c>
      <c r="G21" s="16" t="inlineStr">
        <is>
          <t>1. Run the variance report for that fiscal year.</t>
        </is>
      </c>
      <c r="H21" s="16" t="inlineStr">
        <is>
          <t>FY with actuals but no APPROVED budget.</t>
        </is>
      </c>
      <c r="I21" s="16" t="inlineStr">
        <is>
          <t>header.noApprovedBudget = true. All budget amounts = 0. Variance = actual amounts. UI surfaces the 'no approved budget' condition explicitly. Report is never silently wrong (BR-BUD-12/16).</t>
        </is>
      </c>
      <c r="J21" s="16" t="inlineStr">
        <is>
          <t>/admin/budgeting/variance</t>
        </is>
      </c>
      <c r="K21" s="16" t="inlineStr">
        <is>
          <t>BUDGETING.REPORT.VIEW</t>
        </is>
      </c>
      <c r="L21" s="16" t="inlineStr"/>
      <c r="M21" s="17" t="inlineStr">
        <is>
          <t>Not Run</t>
        </is>
      </c>
      <c r="N21" s="17" t="inlineStr"/>
      <c r="O21" s="16" t="inlineStr"/>
      <c r="P21" s="16" t="inlineStr"/>
      <c r="Q21" s="16" t="inlineStr"/>
    </row>
    <row r="22">
      <c r="A22" s="18" t="inlineStr">
        <is>
          <t>BI-020</t>
        </is>
      </c>
      <c r="B22" s="19" t="inlineStr">
        <is>
          <t>Budget Variance Report</t>
        </is>
      </c>
      <c r="C22" s="19" t="inlineStr">
        <is>
          <t>Budget Variance period-range validation — from &gt; to and out-of-range rejected</t>
        </is>
      </c>
      <c r="D22" s="8" t="inlineStr">
        <is>
          <t>Negative</t>
        </is>
      </c>
      <c r="E22" s="8" t="inlineStr">
        <is>
          <t>Medium</t>
        </is>
      </c>
      <c r="F22" s="19" t="inlineStr">
        <is>
          <t>Logged in as ORG_ADMIN.</t>
        </is>
      </c>
      <c r="G22" s="19" t="inlineStr">
        <is>
          <t>1. Enter from-period = 8, to-period = 3 (from &gt; to); Run.
2. Enter from = 0; Run.
3. Enter to = 13; Run.</t>
        </is>
      </c>
      <c r="H22" s="19" t="inlineStr">
        <is>
          <t>from: 8, to: 3. from: 0. to: 13.</t>
        </is>
      </c>
      <c r="I22" s="19" t="inlineStr">
        <is>
          <t>Client validation blocks: 'Period range must be 1-12 and from &lt;= to.' No request is sent. Server also rejects (VarianceQuery IllegalArgumentException). Boundary values from=1,to=12 and from=12,to=12 are accepted.</t>
        </is>
      </c>
      <c r="J22" s="19" t="inlineStr">
        <is>
          <t>/admin/budgeting/variance</t>
        </is>
      </c>
      <c r="K22" s="19" t="inlineStr">
        <is>
          <t>BUDGETING.REPORT.VIEW</t>
        </is>
      </c>
      <c r="L22" s="19" t="inlineStr"/>
      <c r="M22" s="8" t="inlineStr">
        <is>
          <t>Not Run</t>
        </is>
      </c>
      <c r="N22" s="8" t="inlineStr"/>
      <c r="O22" s="19" t="inlineStr"/>
      <c r="P22" s="19" t="inlineStr"/>
      <c r="Q22" s="19" t="inlineStr"/>
    </row>
    <row r="23">
      <c r="A23" s="15" t="inlineStr">
        <is>
          <t>BI-021</t>
        </is>
      </c>
      <c r="B23" s="16" t="inlineStr">
        <is>
          <t>Budget Variance Report</t>
        </is>
      </c>
      <c r="C23" s="16" t="inlineStr">
        <is>
          <t>Budget Variance filtered by account type EXPENSE shows only expense accounts with correct favourable logic</t>
        </is>
      </c>
      <c r="D23" s="17" t="inlineStr">
        <is>
          <t>Positive</t>
        </is>
      </c>
      <c r="E23" s="17" t="inlineStr">
        <is>
          <t>Medium</t>
        </is>
      </c>
      <c r="F23" s="16" t="inlineStr">
        <is>
          <t>An APPROVED budget with INCOME and EXPENSE accounts. Logged in as ORG_ADMIN.</t>
        </is>
      </c>
      <c r="G23" s="16" t="inlineStr">
        <is>
          <t>1. Run variance with account type = Expense.</t>
        </is>
      </c>
      <c r="H23" s="16" t="inlineStr">
        <is>
          <t>accountType: EXPENSE.</t>
        </is>
      </c>
      <c r="I23" s="16" t="inlineStr">
        <is>
          <t>Only EXPENSE account rows returned. Favourable label applies the EXPENSE rule: actual &lt; budget = Favourable (negative variance is good). Request sends accountType=EXPENSE. Switching to accountType=INCOME flips the favourable rule (positive variance = Favourable).</t>
        </is>
      </c>
      <c r="J23" s="16" t="inlineStr">
        <is>
          <t>/admin/budgeting/variance</t>
        </is>
      </c>
      <c r="K23" s="16" t="inlineStr">
        <is>
          <t>BUDGETING.REPORT.VIEW</t>
        </is>
      </c>
      <c r="L23" s="16" t="inlineStr"/>
      <c r="M23" s="17" t="inlineStr">
        <is>
          <t>Not Run</t>
        </is>
      </c>
      <c r="N23" s="17" t="inlineStr"/>
      <c r="O23" s="16" t="inlineStr"/>
      <c r="P23" s="16" t="inlineStr"/>
      <c r="Q23" s="16" t="inlineStr"/>
    </row>
    <row r="24">
      <c r="A24" s="18" t="inlineStr">
        <is>
          <t>BI-022</t>
        </is>
      </c>
      <c r="B24" s="19" t="inlineStr">
        <is>
          <t>Reporting — Cross-cutting</t>
        </is>
      </c>
      <c r="C24" s="19" t="inlineStr">
        <is>
          <t>Dimension-sliced trial balance requires both COSTING.VIEW and GL.VIEW</t>
        </is>
      </c>
      <c r="D24" s="8" t="inlineStr">
        <is>
          <t>Permission</t>
        </is>
      </c>
      <c r="E24" s="8" t="inlineStr">
        <is>
          <t>High</t>
        </is>
      </c>
      <c r="F24" s="19" t="inlineStr">
        <is>
          <t>A CUSTOM role with COSTING.VIEW but NOT GL.VIEW. A role with both. Journals tagged with cost-centre values. Logged in as each user.</t>
        </is>
      </c>
      <c r="G24" s="19" t="inlineStr">
        <is>
          <t>1. Log in as role with COSTING.VIEW only; navigate to /admin/cost-centre/report.
2. Log in as role with both; run with slot = Cost Centre.</t>
        </is>
      </c>
      <c r="H24" s="19" t="inlineStr">
        <is>
          <t>DimensionSlot: COST_CENTRE.</t>
        </is>
      </c>
      <c r="I24" s="19" t="inlineStr">
        <is>
          <t>COSTING.VIEW-only: forbidden state (component sets state=forbidden; API returns 403). Both permissions: sliced TB shows rows grouped by cost-centre dimension value with totalDebit/totalCredit/net. No balanced indicator (a slice does not net to zero by design). Footer shows totals.</t>
        </is>
      </c>
      <c r="J24" s="19" t="inlineStr">
        <is>
          <t>/admin/cost-centre/report</t>
        </is>
      </c>
      <c r="K24" s="19" t="inlineStr">
        <is>
          <t>COSTING.VIEW</t>
        </is>
      </c>
      <c r="L24" s="19" t="inlineStr"/>
      <c r="M24" s="8" t="inlineStr">
        <is>
          <t>Not Run</t>
        </is>
      </c>
      <c r="N24" s="8" t="inlineStr"/>
      <c r="O24" s="19" t="inlineStr"/>
      <c r="P24" s="19" t="inlineStr"/>
      <c r="Q24" s="19" t="inlineStr"/>
    </row>
    <row r="25">
      <c r="A25" s="15" t="inlineStr">
        <is>
          <t>BI-023</t>
        </is>
      </c>
      <c r="B25" s="16" t="inlineStr">
        <is>
          <t>Reporting — Cross-cutting</t>
        </is>
      </c>
      <c r="C25" s="16" t="inlineStr">
        <is>
          <t>Reporting cross-tenant isolation — company A user cannot read company B data</t>
        </is>
      </c>
      <c r="D25" s="17" t="inlineStr">
        <is>
          <t>Negative</t>
        </is>
      </c>
      <c r="E25" s="17" t="inlineStr">
        <is>
          <t>High</t>
        </is>
      </c>
      <c r="F25" s="16" t="inlineStr">
        <is>
          <t>Two companies A and B. User assigned only to company A with full reporting permissions.</t>
        </is>
      </c>
      <c r="G25" s="16" t="inlineStr">
        <is>
          <t>1. As company-A user, call GET /api/v1/reports/income-statement?companyId=&lt;B&gt;.
2. Repeat for balance-sheet, cash-flow, account-ledger, trial-balance, /bi/dashboard, /budgeting/variance.</t>
        </is>
      </c>
      <c r="H25" s="16" t="inlineStr">
        <is>
          <t>Company B companyId, company A user.</t>
        </is>
      </c>
      <c r="I25" s="16" t="inlineStr">
        <is>
          <t>Every call denied (403 / scope error). assertCanActIn rejects acting in company B. The UI company picker only lists company-A companies, so the UID for B is never selectable.</t>
        </is>
      </c>
      <c r="J25" s="16" t="inlineStr">
        <is>
          <t>/admin/reporting/income-statement</t>
        </is>
      </c>
      <c r="K25" s="16" t="inlineStr">
        <is>
          <t>REPORT.PL.VIEW</t>
        </is>
      </c>
      <c r="L25" s="16" t="inlineStr"/>
      <c r="M25" s="17" t="inlineStr">
        <is>
          <t>Not Run</t>
        </is>
      </c>
      <c r="N25" s="17" t="inlineStr"/>
      <c r="O25" s="16" t="inlineStr"/>
      <c r="P25" s="16" t="inlineStr"/>
      <c r="Q25" s="16" t="inlineStr"/>
    </row>
  </sheetData>
  <autoFilter ref="A2:Q25"/>
  <mergeCells count="1">
    <mergeCell ref="A1:Q1"/>
  </mergeCells>
  <dataValidations count="4">
    <dataValidation sqref="D3:D25" showDropDown="0" showInputMessage="0" showErrorMessage="0" allowBlank="1" type="list">
      <formula1>"Positive,Negative,Permission,Edge"</formula1>
    </dataValidation>
    <dataValidation sqref="E3:E25" showDropDown="0" showInputMessage="0" showErrorMessage="0" allowBlank="1" type="list">
      <formula1>"High,Medium,Low"</formula1>
    </dataValidation>
    <dataValidation sqref="M3:M25" showDropDown="0" showInputMessage="0" showErrorMessage="0" allowBlank="1" type="list">
      <formula1>"Not Run,Pass,Fail,Blocked,N/A"</formula1>
    </dataValidation>
    <dataValidation sqref="N3:N25" showDropDown="0" showInputMessage="0" showErrorMessage="0" allowBlank="1" type="list">
      <formula1>"-,Critical,High,Medium,Low"</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22"/>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Fixed Assets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FA-001</t>
        </is>
      </c>
      <c r="B3" s="16" t="inlineStr">
        <is>
          <t>Asset Categories</t>
        </is>
      </c>
      <c r="C3" s="16" t="inlineStr">
        <is>
          <t>Asset category list loads with four states (loading, idle, empty, forbidden)</t>
        </is>
      </c>
      <c r="D3" s="17" t="inlineStr">
        <is>
          <t>Positive</t>
        </is>
      </c>
      <c r="E3" s="17" t="inlineStr">
        <is>
          <t>High</t>
        </is>
      </c>
      <c r="F3" s="16" t="inlineStr">
        <is>
          <t>Company A has at least one category MACH. A company with no categories. No-permission user exists. Logged in as ACCOUNTANT (has FA.CATEGORY.VIEW).</t>
        </is>
      </c>
      <c r="G3" s="16" t="inlineStr">
        <is>
          <t>1. Navigate to /admin/asset-categories.
2. Observe loading then the populated table (code, name, method, life, status badge).
3. Switch company selector to a company with no categories.
4. Log in as the no-permission user and attempt the route.</t>
        </is>
      </c>
      <c r="H3" s="16" t="inlineStr">
        <is>
          <t>Company A with category MACH/Machinery/STRAIGHT_LINE/60.</t>
        </is>
      </c>
      <c r="I3" s="16" t="inlineStr">
        <is>
          <t>Loaded table shows code, name, method, life, status badge. Empty company shows distinct empty state (not error). No-permission user sees nav item hidden and route blocked. API 403 -&gt; forbidden state (distinct from generic error).</t>
        </is>
      </c>
      <c r="J3" s="16" t="inlineStr">
        <is>
          <t>/admin/asset-categories</t>
        </is>
      </c>
      <c r="K3" s="16" t="inlineStr">
        <is>
          <t>FA.CATEGORY.VIEW</t>
        </is>
      </c>
      <c r="L3" s="16" t="inlineStr"/>
      <c r="M3" s="17" t="inlineStr">
        <is>
          <t>Not Run</t>
        </is>
      </c>
      <c r="N3" s="17" t="inlineStr"/>
      <c r="O3" s="16" t="inlineStr"/>
      <c r="P3" s="16" t="inlineStr"/>
      <c r="Q3" s="16" t="inlineStr"/>
    </row>
    <row r="4">
      <c r="A4" s="18" t="inlineStr">
        <is>
          <t>FA-002</t>
        </is>
      </c>
      <c r="B4" s="19" t="inlineStr">
        <is>
          <t>Asset Categories</t>
        </is>
      </c>
      <c r="C4" s="19" t="inlineStr">
        <is>
          <t>Create asset category STRAIGHT_LINE method — happy path</t>
        </is>
      </c>
      <c r="D4" s="8" t="inlineStr">
        <is>
          <t>Positive</t>
        </is>
      </c>
      <c r="E4" s="8" t="inlineStr">
        <is>
          <t>High</t>
        </is>
      </c>
      <c r="F4" s="19" t="inlineStr">
        <is>
          <t>Company A. GL account IDs known (asset, accum-dep, dep-expense). No category FURN yet. Logged in as ACCOUNTANT (has FA.CATEGORY.MANAGE).</t>
        </is>
      </c>
      <c r="G4" s="19" t="inlineStr">
        <is>
          <t>1. Open /admin/asset-categories; click New Category.
2. Enter Code: FURN, Name: Furniture, Method: Straight Line, Life periods: 60.
3. Enter asset account ID, accumulated-dep account ID, dep-expense account ID.
4. Submit.</t>
        </is>
      </c>
      <c r="H4" s="19" t="inlineStr">
        <is>
          <t>code: FURN, name: Furniture, defaultMethod: STRAIGHT_LINE, defaultLifePeriods: 60, GL account IDs.</t>
        </is>
      </c>
      <c r="I4" s="19" t="inlineStr">
        <is>
          <t>HTTP 201 CREATED. AssetCategoryDto with status=ACTIVE. Success toast. List refreshes showing Furniture. defaultReducingRate is null for STRAIGHT_LINE. C1 note: account IDs are typed numeric IDs (known gap, not a picker).</t>
        </is>
      </c>
      <c r="J4" s="19" t="inlineStr">
        <is>
          <t>/admin/asset-categories</t>
        </is>
      </c>
      <c r="K4" s="19" t="inlineStr">
        <is>
          <t>FA.CATEGORY.MANAGE</t>
        </is>
      </c>
      <c r="L4" s="19" t="inlineStr"/>
      <c r="M4" s="8" t="inlineStr">
        <is>
          <t>Not Run</t>
        </is>
      </c>
      <c r="N4" s="8" t="inlineStr"/>
      <c r="O4" s="19" t="inlineStr"/>
      <c r="P4" s="19" t="inlineStr"/>
      <c r="Q4" s="19" t="inlineStr"/>
    </row>
    <row r="5">
      <c r="A5" s="15" t="inlineStr">
        <is>
          <t>FA-003</t>
        </is>
      </c>
      <c r="B5" s="16" t="inlineStr">
        <is>
          <t>Asset Categories</t>
        </is>
      </c>
      <c r="C5" s="16" t="inlineStr">
        <is>
          <t>Create asset category REDUCING_BALANCE requires reducing rate</t>
        </is>
      </c>
      <c r="D5" s="17" t="inlineStr">
        <is>
          <t>Negative</t>
        </is>
      </c>
      <c r="E5" s="17" t="inlineStr">
        <is>
          <t>High</t>
        </is>
      </c>
      <c r="F5" s="16" t="inlineStr">
        <is>
          <t>Logged in as ACCOUNTANT (has FA.CATEGORY.MANAGE).</t>
        </is>
      </c>
      <c r="G5" s="16" t="inlineStr">
        <is>
          <t>1. Open create form; choose method = Reducing Balance.
2. Leave reducing rate blank; submit — expect inline error.
3. Enter reducing rate 0.25; submit.</t>
        </is>
      </c>
      <c r="H5" s="16" t="inlineStr">
        <is>
          <t>code: VEH, name: Vehicles, method: REDUCING_BALANCE, reducingRate blank then 0.25.</t>
        </is>
      </c>
      <c r="I5" s="16" t="inlineStr">
        <is>
          <t>First submit blocked: 'Reducing rate is required for Reducing Balance method.' Second creates the category with defaultMethod=REDUCING_BALANCE, defaultReducingRate=0.25.</t>
        </is>
      </c>
      <c r="J5" s="16" t="inlineStr">
        <is>
          <t>/admin/asset-categories</t>
        </is>
      </c>
      <c r="K5" s="16" t="inlineStr">
        <is>
          <t>FA.CATEGORY.MANAGE</t>
        </is>
      </c>
      <c r="L5" s="16" t="inlineStr"/>
      <c r="M5" s="17" t="inlineStr">
        <is>
          <t>Not Run</t>
        </is>
      </c>
      <c r="N5" s="17" t="inlineStr"/>
      <c r="O5" s="16" t="inlineStr"/>
      <c r="P5" s="16" t="inlineStr"/>
      <c r="Q5" s="16" t="inlineStr"/>
    </row>
    <row r="6">
      <c r="A6" s="18" t="inlineStr">
        <is>
          <t>FA-004</t>
        </is>
      </c>
      <c r="B6" s="19" t="inlineStr">
        <is>
          <t>Asset Categories</t>
        </is>
      </c>
      <c r="C6" s="19" t="inlineStr">
        <is>
          <t>Duplicate category code rejected per company (409 Conflict)</t>
        </is>
      </c>
      <c r="D6" s="8" t="inlineStr">
        <is>
          <t>Negative</t>
        </is>
      </c>
      <c r="E6" s="8" t="inlineStr">
        <is>
          <t>Medium</t>
        </is>
      </c>
      <c r="F6" s="19" t="inlineStr">
        <is>
          <t>Category MACH already exists in Company A. Logged in as ACCOUNTANT.</t>
        </is>
      </c>
      <c r="G6" s="19" t="inlineStr">
        <is>
          <t>1. Create another category with code MACH in the same company.
2. Submit.</t>
        </is>
      </c>
      <c r="H6" s="19" t="inlineStr">
        <is>
          <t>code: MACH (already exists in company A).</t>
        </is>
      </c>
      <c r="I6" s="19" t="inlineStr">
        <is>
          <t>409 ConflictException: 'Asset category code MACH already exists in this company.' Message in form error. Same code in a different company succeeds.</t>
        </is>
      </c>
      <c r="J6" s="19" t="inlineStr">
        <is>
          <t>/admin/asset-categories</t>
        </is>
      </c>
      <c r="K6" s="19" t="inlineStr">
        <is>
          <t>FA.CATEGORY.MANAGE</t>
        </is>
      </c>
      <c r="L6" s="19" t="inlineStr"/>
      <c r="M6" s="8" t="inlineStr">
        <is>
          <t>Not Run</t>
        </is>
      </c>
      <c r="N6" s="8" t="inlineStr"/>
      <c r="O6" s="19" t="inlineStr"/>
      <c r="P6" s="19" t="inlineStr"/>
      <c r="Q6" s="19" t="inlineStr"/>
    </row>
    <row r="7">
      <c r="A7" s="15" t="inlineStr">
        <is>
          <t>FA-005</t>
        </is>
      </c>
      <c r="B7" s="16" t="inlineStr">
        <is>
          <t>Asset Categories</t>
        </is>
      </c>
      <c r="C7" s="16" t="inlineStr">
        <is>
          <t>Archive category soft-deletes it and hides it from the register picker</t>
        </is>
      </c>
      <c r="D7" s="17" t="inlineStr">
        <is>
          <t>Positive</t>
        </is>
      </c>
      <c r="E7" s="17" t="inlineStr">
        <is>
          <t>Medium</t>
        </is>
      </c>
      <c r="F7" s="16" t="inlineStr">
        <is>
          <t>An unused category OLD. Logged in as ACCOUNTANT (has FA.CATEGORY.MANAGE).</t>
        </is>
      </c>
      <c r="G7" s="16" t="inlineStr">
        <is>
          <t>1. Open OLD category detail; click Archive.
2. Return to the category list.
3. Navigate to /admin/fixed-assets/create; open the Category dropdown.</t>
        </is>
      </c>
      <c r="H7" s="16" t="inlineStr">
        <is>
          <t>Category: OLD.</t>
        </is>
      </c>
      <c r="I7" s="16" t="inlineStr">
        <is>
          <t>archive() returns DTO with status=ARCHIVED. The row remains in the list (soft-delete) with ARCHIVED badge. OLD is NOT offered in the register create picker (picker filters status=ACTIVE). Code is not editable after creation.</t>
        </is>
      </c>
      <c r="J7" s="16" t="inlineStr">
        <is>
          <t>/admin/asset-categories/uid/:uid</t>
        </is>
      </c>
      <c r="K7" s="16" t="inlineStr">
        <is>
          <t>FA.CATEGORY.MANAGE</t>
        </is>
      </c>
      <c r="L7" s="16" t="inlineStr"/>
      <c r="M7" s="17" t="inlineStr">
        <is>
          <t>Not Run</t>
        </is>
      </c>
      <c r="N7" s="17" t="inlineStr"/>
      <c r="O7" s="16" t="inlineStr"/>
      <c r="P7" s="16" t="inlineStr"/>
      <c r="Q7" s="16" t="inlineStr"/>
    </row>
    <row r="8">
      <c r="A8" s="18" t="inlineStr">
        <is>
          <t>FA-006</t>
        </is>
      </c>
      <c r="B8" s="19" t="inlineStr">
        <is>
          <t>Fixed Asset Register</t>
        </is>
      </c>
      <c r="C8" s="19" t="inlineStr">
        <is>
          <t>Register asset in DRAFT status — STRAIGHT_LINE, branch via picker</t>
        </is>
      </c>
      <c r="D8" s="8" t="inlineStr">
        <is>
          <t>Positive</t>
        </is>
      </c>
      <c r="E8" s="8" t="inlineStr">
        <is>
          <t>High</t>
        </is>
      </c>
      <c r="F8" s="19" t="inlineStr">
        <is>
          <t>Company A with ACTIVE category MACH and at least one ACTIVE branch. Logged in as ACCOUNTANT (has FA.REGISTER.MANAGE).</t>
        </is>
      </c>
      <c r="G8" s="19" t="inlineStr">
        <is>
          <t>1. Navigate to /admin/fixed-assets/create.
2. Select company; pick Category Machinery from dropdown.
3. Choose Branch via app-uid-picker by branch name.
4. Enter name: Lathe #1, acquisitionCost: 5000000, salvageValue: 500000, Method: Straight Line, Life periods: 60, acquisitionDate: 2026-01-15, depreciationStartDate: 2026-02-01.
5. Submit.</t>
        </is>
      </c>
      <c r="H8" s="19" t="inlineStr">
        <is>
          <t>name: Lathe #1, acquisitionCost: 5000000, salvageValue: 500000, method: STRAIGHT_LINE, lifePeriods: 60, acquisitionDate: 2026-01-15, depreciationStartDate: 2026-02-01.</t>
        </is>
      </c>
      <c r="I8" s="19" t="inlineStr">
        <is>
          <t>HTTP 201. Asset created with status=DRAFT, assetNumber generated. Navigates to /admin/fixed-assets/uid/:uid. No GL posting yet (capitalisation happens at place-in-service). Branch chosen via picker by name — no UID typed. costCentreId field is a typed numeric ID (C1 known gap).</t>
        </is>
      </c>
      <c r="J8" s="19" t="inlineStr">
        <is>
          <t>/admin/fixed-assets/create</t>
        </is>
      </c>
      <c r="K8" s="19" t="inlineStr">
        <is>
          <t>FA.REGISTER.MANAGE</t>
        </is>
      </c>
      <c r="L8" s="19" t="inlineStr"/>
      <c r="M8" s="8" t="inlineStr">
        <is>
          <t>Not Run</t>
        </is>
      </c>
      <c r="N8" s="8" t="inlineStr"/>
      <c r="O8" s="19" t="inlineStr"/>
      <c r="P8" s="19" t="inlineStr"/>
      <c r="Q8" s="19" t="inlineStr"/>
    </row>
    <row r="9">
      <c r="A9" s="15" t="inlineStr">
        <is>
          <t>FA-007</t>
        </is>
      </c>
      <c r="B9" s="16" t="inlineStr">
        <is>
          <t>Fixed Asset Register</t>
        </is>
      </c>
      <c r="C9" s="16" t="inlineStr">
        <is>
          <t>Register asset list paginated with status filter and four states</t>
        </is>
      </c>
      <c r="D9" s="17" t="inlineStr">
        <is>
          <t>Positive</t>
        </is>
      </c>
      <c r="E9" s="17" t="inlineStr">
        <is>
          <t>High</t>
        </is>
      </c>
      <c r="F9" s="16" t="inlineStr">
        <is>
          <t>Company A with assets in DRAFT, IN_SERVICE, DISPOSED, WRITTEN_OFF statuses. More than 20 assets. Logged in as ACCOUNTANT (has FA.VIEW).</t>
        </is>
      </c>
      <c r="G9" s="16" t="inlineStr">
        <is>
          <t>1. Open /admin/fixed-assets; observe loading -&gt; idle with 20 rows.
2. Use paginator FIRST/PREV/pages/NEXT/LAST.
3. Set status filter to In Service; verify only IN_SERVICE rows.
4. Set filter to Disposed; verify only DISPOSED rows.
5. Log in as no-permission user; confirm forbidden state.</t>
        </is>
      </c>
      <c r="H9" s="16" t="inlineStr">
        <is>
          <t>Assets in all four statuses. 21+ total assets.</t>
        </is>
      </c>
      <c r="I9" s="16" t="inlineStr">
        <is>
          <t>List is paginated (size=20) with meta. Status filter sends ?status= query param. Each status filter yields only matching rows. Empty result for a status with no matches shows empty state. No-permission user sees forbidden state (403 -&gt; forbidden, not generic error). Paginator self-hides at 1 page.</t>
        </is>
      </c>
      <c r="J9" s="16" t="inlineStr">
        <is>
          <t>/admin/fixed-assets</t>
        </is>
      </c>
      <c r="K9" s="16" t="inlineStr">
        <is>
          <t>FA.VIEW</t>
        </is>
      </c>
      <c r="L9" s="16" t="inlineStr"/>
      <c r="M9" s="17" t="inlineStr">
        <is>
          <t>Not Run</t>
        </is>
      </c>
      <c r="N9" s="17" t="inlineStr"/>
      <c r="O9" s="16" t="inlineStr"/>
      <c r="P9" s="16" t="inlineStr"/>
      <c r="Q9" s="16" t="inlineStr"/>
    </row>
    <row r="10">
      <c r="A10" s="18" t="inlineStr">
        <is>
          <t>FA-008</t>
        </is>
      </c>
      <c r="B10" s="19" t="inlineStr">
        <is>
          <t>Fixed Asset Register</t>
        </is>
      </c>
      <c r="C10" s="19" t="inlineStr">
        <is>
          <t>Edit non-financial fields allowed in DRAFT but rejected in IN_SERVICE (BR-FA-09)</t>
        </is>
      </c>
      <c r="D10" s="8" t="inlineStr">
        <is>
          <t>Negative</t>
        </is>
      </c>
      <c r="E10" s="8" t="inlineStr">
        <is>
          <t>High</t>
        </is>
      </c>
      <c r="F10" s="19" t="inlineStr">
        <is>
          <t>One DRAFT asset and one IN_SERVICE asset. Logged in as ACCOUNTANT (has FA.REGISTER.MANAGE).</t>
        </is>
      </c>
      <c r="G10" s="19" t="inlineStr">
        <is>
          <t>1. Open the DRAFT asset detail; edit name to Lathe #1 (rev), location Bay 3, asset tag TAG-001; save.
2. Open the IN_SERVICE asset; attempt the same edit via API.</t>
        </is>
      </c>
      <c r="H10" s="19" t="inlineStr">
        <is>
          <t>DRAFT asset: name Lathe #1 (rev), location Bay 3, assetTag TAG-001. IN_SERVICE asset same fields.</t>
        </is>
      </c>
      <c r="I10" s="19" t="inlineStr">
        <is>
          <t>DRAFT edit succeeds. IN_SERVICE edit returns: 'Non-financial fields can only be updated while DRAFT (BR-FA-09).' HTTP 400 in envelope errors. Same rejection for DISPOSED and WRITTEN_OFF status.</t>
        </is>
      </c>
      <c r="J10" s="19" t="inlineStr">
        <is>
          <t>/admin/fixed-assets/uid/:uid</t>
        </is>
      </c>
      <c r="K10" s="19" t="inlineStr">
        <is>
          <t>FA.REGISTER.MANAGE</t>
        </is>
      </c>
      <c r="L10" s="19" t="inlineStr"/>
      <c r="M10" s="8" t="inlineStr">
        <is>
          <t>Not Run</t>
        </is>
      </c>
      <c r="N10" s="8" t="inlineStr"/>
      <c r="O10" s="19" t="inlineStr"/>
      <c r="P10" s="19" t="inlineStr"/>
      <c r="Q10" s="19" t="inlineStr"/>
    </row>
    <row r="11">
      <c r="A11" s="15" t="inlineStr">
        <is>
          <t>FA-009</t>
        </is>
      </c>
      <c r="B11" s="16" t="inlineStr">
        <is>
          <t>Place in Service</t>
        </is>
      </c>
      <c r="C11" s="16" t="inlineStr">
        <is>
          <t>Place DRAFT asset in service — capitalisation GL journal posted, schedule generated</t>
        </is>
      </c>
      <c r="D11" s="17" t="inlineStr">
        <is>
          <t>Positive</t>
        </is>
      </c>
      <c r="E11" s="17" t="inlineStr">
        <is>
          <t>High</t>
        </is>
      </c>
      <c r="F11" s="16" t="inlineStr">
        <is>
          <t>A DRAFT asset under category with valid GL accounts. An OPEN fiscal period covering posting date. Logged in as ACCOUNTANT (has FA.REGISTER.MANAGE).</t>
        </is>
      </c>
      <c r="G11" s="16" t="inlineStr">
        <is>
          <t>1. Open the DRAFT asset detail.
2. Click Place in Service.
3. Enter posting date: 2026-02-01.
4. Confirm.</t>
        </is>
      </c>
      <c r="H11" s="16" t="inlineStr">
        <is>
          <t>postingDate: 2026-02-01.</t>
        </is>
      </c>
      <c r="I11" s="16" t="inlineStr">
        <is>
          <t>Status flips to IN_SERVICE. capitalisedGlEntryUid populated. A depreciation schedule is generated and visible in the Schedule child table. Success toast with assetNumber. No raw UID shown on screen (assetNumber is the human identifier).</t>
        </is>
      </c>
      <c r="J11" s="16" t="inlineStr">
        <is>
          <t>/admin/fixed-assets/uid/:uid</t>
        </is>
      </c>
      <c r="K11" s="16" t="inlineStr">
        <is>
          <t>FA.REGISTER.MANAGE</t>
        </is>
      </c>
      <c r="L11" s="16" t="inlineStr"/>
      <c r="M11" s="17" t="inlineStr">
        <is>
          <t>Not Run</t>
        </is>
      </c>
      <c r="N11" s="17" t="inlineStr"/>
      <c r="O11" s="16" t="inlineStr"/>
      <c r="P11" s="16" t="inlineStr"/>
      <c r="Q11" s="16" t="inlineStr"/>
    </row>
    <row r="12">
      <c r="A12" s="18" t="inlineStr">
        <is>
          <t>FA-010</t>
        </is>
      </c>
      <c r="B12" s="19" t="inlineStr">
        <is>
          <t>Place in Service</t>
        </is>
      </c>
      <c r="C12" s="19" t="inlineStr">
        <is>
          <t>Place-in-service rejected when asset is not in DRAFT status</t>
        </is>
      </c>
      <c r="D12" s="8" t="inlineStr">
        <is>
          <t>Negative</t>
        </is>
      </c>
      <c r="E12" s="8" t="inlineStr">
        <is>
          <t>High</t>
        </is>
      </c>
      <c r="F12" s="19" t="inlineStr">
        <is>
          <t>Assets in IN_SERVICE, DISPOSED, WRITTEN_OFF. Logged in as ACCOUNTANT.</t>
        </is>
      </c>
      <c r="G12" s="19" t="inlineStr">
        <is>
          <t>1. POST place-in-service on an IN_SERVICE asset.
2. Repeat for DISPOSED and WRITTEN_OFF.</t>
        </is>
      </c>
      <c r="H12" s="19" t="inlineStr">
        <is>
          <t>Assets in each non-DRAFT state.</t>
        </is>
      </c>
      <c r="I12" s="19" t="inlineStr">
        <is>
          <t>Each returns: 'Asset must be DRAFT to place in service.' HTTP 400. No status change.</t>
        </is>
      </c>
      <c r="J12" s="19" t="inlineStr">
        <is>
          <t>/admin/fixed-assets/uid/:uid</t>
        </is>
      </c>
      <c r="K12" s="19" t="inlineStr">
        <is>
          <t>FA.REGISTER.MANAGE</t>
        </is>
      </c>
      <c r="L12" s="19" t="inlineStr"/>
      <c r="M12" s="8" t="inlineStr">
        <is>
          <t>Not Run</t>
        </is>
      </c>
      <c r="N12" s="8" t="inlineStr"/>
      <c r="O12" s="19" t="inlineStr"/>
      <c r="P12" s="19" t="inlineStr"/>
      <c r="Q12" s="19" t="inlineStr"/>
    </row>
    <row r="13">
      <c r="A13" s="15" t="inlineStr">
        <is>
          <t>FA-011</t>
        </is>
      </c>
      <c r="B13" s="16" t="inlineStr">
        <is>
          <t>Depreciation Runs</t>
        </is>
      </c>
      <c r="C13" s="16" t="inlineStr">
        <is>
          <t>Preview depreciation for an open period — read-only, nothing persisted</t>
        </is>
      </c>
      <c r="D13" s="17" t="inlineStr">
        <is>
          <t>Positive</t>
        </is>
      </c>
      <c r="E13" s="17" t="inlineStr">
        <is>
          <t>High</t>
        </is>
      </c>
      <c r="F13" s="16" t="inlineStr">
        <is>
          <t>Company A with IN_SERVICE assets having eligible schedule lines for the chosen open fiscal period. Logged in as ACCOUNTANT (has FA.DEPRECIATE).</t>
        </is>
      </c>
      <c r="G13" s="16" t="inlineStr">
        <is>
          <t>1. Navigate to /admin/depreciation-runs/post.
2. Select company; enter the fiscal period UID.
3. Click Preview.
4. Review the preview table (asset number, name, period seq, planned charge) and totals.</t>
        </is>
      </c>
      <c r="H13" s="16" t="inlineStr">
        <is>
          <t>An OPEN fiscal period UID.</t>
        </is>
      </c>
      <c r="I13" s="16" t="inlineStr">
        <is>
          <t>DepreciationRunPreviewDto returned. Nothing persisted — no run created, schedule lines untouched. Totals match sum of preview lines. Unknown fiscalPeriodUid -&gt; NotFound(FiscalPeriod). No eligible assets -&gt; empty preview (assetCount 0, total 0).</t>
        </is>
      </c>
      <c r="J13" s="16" t="inlineStr">
        <is>
          <t>/admin/depreciation-runs/post</t>
        </is>
      </c>
      <c r="K13" s="16" t="inlineStr">
        <is>
          <t>FA.DEPRECIATE</t>
        </is>
      </c>
      <c r="L13" s="16" t="inlineStr"/>
      <c r="M13" s="17" t="inlineStr">
        <is>
          <t>Not Run</t>
        </is>
      </c>
      <c r="N13" s="17" t="inlineStr"/>
      <c r="O13" s="16" t="inlineStr"/>
      <c r="P13" s="16" t="inlineStr"/>
      <c r="Q13" s="16" t="inlineStr"/>
    </row>
    <row r="14">
      <c r="A14" s="18" t="inlineStr">
        <is>
          <t>FA-012</t>
        </is>
      </c>
      <c r="B14" s="19" t="inlineStr">
        <is>
          <t>Depreciation Runs</t>
        </is>
      </c>
      <c r="C14" s="19" t="inlineStr">
        <is>
          <t>Post depreciation run — creates POSTED run with one GL journal</t>
        </is>
      </c>
      <c r="D14" s="8" t="inlineStr">
        <is>
          <t>Positive</t>
        </is>
      </c>
      <c r="E14" s="8" t="inlineStr">
        <is>
          <t>High</t>
        </is>
      </c>
      <c r="F14" s="19" t="inlineStr">
        <is>
          <t>IN_SERVICE assets with eligible schedule lines. Fiscal period OPEN. No prior run for this company+period. Logged in as ACCOUNTANT (has FA.DEPRECIATE).</t>
        </is>
      </c>
      <c r="G14" s="19" t="inlineStr">
        <is>
          <t>1. After previewing, enter posting date.
2. Click Post.
3. Navigate to the run detail.</t>
        </is>
      </c>
      <c r="H14" s="19" t="inlineStr">
        <is>
          <t>postingDate: 2026-02-28.</t>
        </is>
      </c>
      <c r="I14" s="19" t="inlineStr">
        <is>
          <t>HTTP 201. DepreciationRunDto with status=POSTED, runNumber, totalChargeAmount, assetCount, glEntryUid, lines[]. Each eligible schedule line marked posted. Each asset's accumulatedDepreciation increased. GL entry posted (append-only). Run number shown, not UID.</t>
        </is>
      </c>
      <c r="J14" s="19" t="inlineStr">
        <is>
          <t>/admin/depreciation-runs/post</t>
        </is>
      </c>
      <c r="K14" s="19" t="inlineStr">
        <is>
          <t>FA.DEPRECIATE</t>
        </is>
      </c>
      <c r="L14" s="19" t="inlineStr"/>
      <c r="M14" s="8" t="inlineStr">
        <is>
          <t>Not Run</t>
        </is>
      </c>
      <c r="N14" s="8" t="inlineStr"/>
      <c r="O14" s="19" t="inlineStr"/>
      <c r="P14" s="19" t="inlineStr"/>
      <c r="Q14" s="19" t="inlineStr"/>
    </row>
    <row r="15">
      <c r="A15" s="15" t="inlineStr">
        <is>
          <t>FA-013</t>
        </is>
      </c>
      <c r="B15" s="16" t="inlineStr">
        <is>
          <t>Depreciation Runs</t>
        </is>
      </c>
      <c r="C15" s="16" t="inlineStr">
        <is>
          <t>Duplicate depreciation run for same company+period rejected (D-4)</t>
        </is>
      </c>
      <c r="D15" s="17" t="inlineStr">
        <is>
          <t>Negative</t>
        </is>
      </c>
      <c r="E15" s="17" t="inlineStr">
        <is>
          <t>High</t>
        </is>
      </c>
      <c r="F15" s="16" t="inlineStr">
        <is>
          <t>A run already POSTED for company A, period P. Logged in as ACCOUNTANT.</t>
        </is>
      </c>
      <c r="G15" s="16" t="inlineStr">
        <is>
          <t>1. Attempt to post depreciation again for the same company and period P.</t>
        </is>
      </c>
      <c r="H15" s="16" t="inlineStr">
        <is>
          <t>Same company+period as an existing POSTED run.</t>
        </is>
      </c>
      <c r="I15" s="16" t="inlineStr">
        <is>
          <t>'Depreciation run already posted for company=... period=... (run=...). Duplicate runs are not allowed (ADR-0030 D-4).' HTTP 409. No second run created, no double GL.</t>
        </is>
      </c>
      <c r="J15" s="16" t="inlineStr">
        <is>
          <t>/admin/depreciation-runs/post</t>
        </is>
      </c>
      <c r="K15" s="16" t="inlineStr">
        <is>
          <t>FA.DEPRECIATE</t>
        </is>
      </c>
      <c r="L15" s="16" t="inlineStr"/>
      <c r="M15" s="17" t="inlineStr">
        <is>
          <t>Not Run</t>
        </is>
      </c>
      <c r="N15" s="17" t="inlineStr"/>
      <c r="O15" s="16" t="inlineStr"/>
      <c r="P15" s="16" t="inlineStr"/>
      <c r="Q15" s="16" t="inlineStr"/>
    </row>
    <row r="16">
      <c r="A16" s="18" t="inlineStr">
        <is>
          <t>FA-014</t>
        </is>
      </c>
      <c r="B16" s="19" t="inlineStr">
        <is>
          <t>Revaluation</t>
        </is>
      </c>
      <c r="C16" s="19" t="inlineStr">
        <is>
          <t>Revalue asset UP — carrying cost increases and schedule regenerated</t>
        </is>
      </c>
      <c r="D16" s="8" t="inlineStr">
        <is>
          <t>Positive</t>
        </is>
      </c>
      <c r="E16" s="8" t="inlineStr">
        <is>
          <t>High</t>
        </is>
      </c>
      <c r="F16" s="19" t="inlineStr">
        <is>
          <t>An IN_SERVICE asset. An OPEN fiscal period for the revaluation date. Logged in as ACCOUNTANT (has FA.DISPOSE).</t>
        </is>
      </c>
      <c r="G16" s="19" t="inlineStr">
        <is>
          <t>1. Open the asset detail.
2. Click Revalue; choose direction = UP; enter delta: 1000000; date: 2026-03-31; reason: market appraisal.
3. Confirm.</t>
        </is>
      </c>
      <c r="H16" s="19" t="inlineStr">
        <is>
          <t>direction: UP, deltaAmount: 1000000, revaluationDate: 2026-03-31.</t>
        </is>
      </c>
      <c r="I16" s="19" t="inlineStr">
        <is>
          <t>AssetRevaluationDto with direction=UP, carryingAfter = carryingBefore + 1000000. revaluationReserveBalance increased on the asset. Revaluation GL journal posted. Remaining schedule regenerated. Revaluation appears in the Revaluations child table.</t>
        </is>
      </c>
      <c r="J16" s="19" t="inlineStr">
        <is>
          <t>/admin/fixed-assets/uid/:uid</t>
        </is>
      </c>
      <c r="K16" s="19" t="inlineStr">
        <is>
          <t>FA.DISPOSE</t>
        </is>
      </c>
      <c r="L16" s="19" t="inlineStr"/>
      <c r="M16" s="8" t="inlineStr">
        <is>
          <t>Not Run</t>
        </is>
      </c>
      <c r="N16" s="8" t="inlineStr"/>
      <c r="O16" s="19" t="inlineStr"/>
      <c r="P16" s="19" t="inlineStr"/>
      <c r="Q16" s="19" t="inlineStr"/>
    </row>
    <row r="17">
      <c r="A17" s="15" t="inlineStr">
        <is>
          <t>FA-015</t>
        </is>
      </c>
      <c r="B17" s="16" t="inlineStr">
        <is>
          <t>Revaluation</t>
        </is>
      </c>
      <c r="C17" s="16" t="inlineStr">
        <is>
          <t>Revalue DOWN below accumulated depreciation — rejected at the boundary</t>
        </is>
      </c>
      <c r="D17" s="17" t="inlineStr">
        <is>
          <t>Negative</t>
        </is>
      </c>
      <c r="E17" s="17" t="inlineStr">
        <is>
          <t>High</t>
        </is>
      </c>
      <c r="F17" s="16" t="inlineStr">
        <is>
          <t>IN_SERVICE asset with known carrying cost and accumulated depreciation. Logged in as ACCOUNTANT.</t>
        </is>
      </c>
      <c r="G17" s="16" t="inlineStr">
        <is>
          <t>1. Revalue DOWN by a delta such that carryingAfter &lt; accumulatedDepreciation (via API).</t>
        </is>
      </c>
      <c r="H17" s="16" t="inlineStr">
        <is>
          <t>delta &gt; carryingCost - accumulatedDepreciation.</t>
        </is>
      </c>
      <c r="I17" s="16" t="inlineStr">
        <is>
          <t>'Down-revaluation would reduce carrying cost below accumulated depreciation.' HTTP 400. No change. A delta that brings carryingAfter exactly equal to accumulatedDepreciation is allowed (only strictly-below is rejected).</t>
        </is>
      </c>
      <c r="J17" s="16" t="inlineStr">
        <is>
          <t>/admin/fixed-assets/uid/:uid</t>
        </is>
      </c>
      <c r="K17" s="16" t="inlineStr">
        <is>
          <t>FA.DISPOSE</t>
        </is>
      </c>
      <c r="L17" s="16" t="inlineStr"/>
      <c r="M17" s="17" t="inlineStr">
        <is>
          <t>Not Run</t>
        </is>
      </c>
      <c r="N17" s="17" t="inlineStr"/>
      <c r="O17" s="16" t="inlineStr"/>
      <c r="P17" s="16" t="inlineStr"/>
      <c r="Q17" s="16" t="inlineStr"/>
    </row>
    <row r="18">
      <c r="A18" s="18" t="inlineStr">
        <is>
          <t>FA-016</t>
        </is>
      </c>
      <c r="B18" s="19" t="inlineStr">
        <is>
          <t>Disposal &amp; Write-off</t>
        </is>
      </c>
      <c r="C18" s="19" t="inlineStr">
        <is>
          <t>Dispose asset by SALE — gain/loss computed and disposal GL posted</t>
        </is>
      </c>
      <c r="D18" s="8" t="inlineStr">
        <is>
          <t>Positive</t>
        </is>
      </c>
      <c r="E18" s="8" t="inlineStr">
        <is>
          <t>High</t>
        </is>
      </c>
      <c r="F18" s="19" t="inlineStr">
        <is>
          <t>An IN_SERVICE asset with known NBV. An OPEN fiscal period. Logged in as ACCOUNTANT (has FA.DISPOSE).</t>
        </is>
      </c>
      <c r="G18" s="19" t="inlineStr">
        <is>
          <t>1. Open the asset detail.
2. Click Dispose; enter disposal date: 2026-04-30; proceeds: 3000000; reason: sold to vendor.
3. Confirm.</t>
        </is>
      </c>
      <c r="H18" s="19" t="inlineStr">
        <is>
          <t>disposalDate: 2026-04-30, proceedsAmount: 3000000.</t>
        </is>
      </c>
      <c r="I18" s="19" t="inlineStr">
        <is>
          <t>Final-period depreciation is posted first (any unposted schedule lines up to disposal date charged per BR-FA-10). Then gainLossAmount = proceeds - NBV is computed. AssetDisposalDto with disposalType=SALE, nbvAtDisposal, gainLossAmount. Disposal GL journal posted. Status -&gt; DISPOSED. disposedAt set.</t>
        </is>
      </c>
      <c r="J18" s="19" t="inlineStr">
        <is>
          <t>/admin/fixed-assets/uid/:uid</t>
        </is>
      </c>
      <c r="K18" s="19" t="inlineStr">
        <is>
          <t>FA.DISPOSE</t>
        </is>
      </c>
      <c r="L18" s="19" t="inlineStr"/>
      <c r="M18" s="8" t="inlineStr">
        <is>
          <t>Not Run</t>
        </is>
      </c>
      <c r="N18" s="8" t="inlineStr"/>
      <c r="O18" s="19" t="inlineStr"/>
      <c r="P18" s="19" t="inlineStr"/>
      <c r="Q18" s="19" t="inlineStr"/>
    </row>
    <row r="19">
      <c r="A19" s="15" t="inlineStr">
        <is>
          <t>FA-017</t>
        </is>
      </c>
      <c r="B19" s="16" t="inlineStr">
        <is>
          <t>Disposal &amp; Write-off</t>
        </is>
      </c>
      <c r="C19" s="16" t="inlineStr">
        <is>
          <t>Write-off asset — status becomes WRITTEN_OFF, proceeds forced to zero</t>
        </is>
      </c>
      <c r="D19" s="17" t="inlineStr">
        <is>
          <t>Positive</t>
        </is>
      </c>
      <c r="E19" s="17" t="inlineStr">
        <is>
          <t>High</t>
        </is>
      </c>
      <c r="F19" s="16" t="inlineStr">
        <is>
          <t>An IN_SERVICE asset. OPEN fiscal period. Logged in as ACCOUNTANT (has FA.DISPOSE).</t>
        </is>
      </c>
      <c r="G19" s="16" t="inlineStr">
        <is>
          <t>1. Open the asset detail.
2. Click Write-off; enter date: 2026-04-30; reason: obsolete.
3. Confirm.</t>
        </is>
      </c>
      <c r="H19" s="16" t="inlineStr">
        <is>
          <t>disposalDate: 2026-04-30, reason: obsolete.</t>
        </is>
      </c>
      <c r="I19" s="16" t="inlineStr">
        <is>
          <t>AssetDisposalDto with disposalType=WRITE_OFF, proceedsAmount=0, gainLossAmount = -NBV (full NBV is the loss). Final-period depreciation posted first. Status -&gt; WRITTEN_OFF. Write-off GL journal posted. The write-off form has no proceeds field.</t>
        </is>
      </c>
      <c r="J19" s="16" t="inlineStr">
        <is>
          <t>/admin/fixed-assets/uid/:uid</t>
        </is>
      </c>
      <c r="K19" s="16" t="inlineStr">
        <is>
          <t>FA.DISPOSE</t>
        </is>
      </c>
      <c r="L19" s="16" t="inlineStr"/>
      <c r="M19" s="17" t="inlineStr">
        <is>
          <t>Not Run</t>
        </is>
      </c>
      <c r="N19" s="17" t="inlineStr"/>
      <c r="O19" s="16" t="inlineStr"/>
      <c r="P19" s="16" t="inlineStr"/>
      <c r="Q19" s="16" t="inlineStr"/>
    </row>
    <row r="20">
      <c r="A20" s="18" t="inlineStr">
        <is>
          <t>FA-018</t>
        </is>
      </c>
      <c r="B20" s="19" t="inlineStr">
        <is>
          <t>Disposal &amp; Write-off</t>
        </is>
      </c>
      <c r="C20" s="19" t="inlineStr">
        <is>
          <t>Dispose or write-off rejected when asset is not IN_SERVICE (BR-FA-03)</t>
        </is>
      </c>
      <c r="D20" s="8" t="inlineStr">
        <is>
          <t>Negative</t>
        </is>
      </c>
      <c r="E20" s="8" t="inlineStr">
        <is>
          <t>High</t>
        </is>
      </c>
      <c r="F20" s="19" t="inlineStr">
        <is>
          <t>A DRAFT asset and an already-DISPOSED asset. Logged in as ACCOUNTANT.</t>
        </is>
      </c>
      <c r="G20" s="19" t="inlineStr">
        <is>
          <t>1. Attempt dispose on a DRAFT asset via API.
2. Attempt dispose on an already-DISPOSED asset.</t>
        </is>
      </c>
      <c r="H20" s="19" t="inlineStr">
        <is>
          <t>DRAFT asset, DISPOSED asset.</t>
        </is>
      </c>
      <c r="I20" s="19" t="inlineStr">
        <is>
          <t>DRAFT: 'Only IN_SERVICE assets can be disposed (BR-FA-03).' DISPOSED: 'Asset has already been disposed.' HTTP 409/400. No change. Double-dispose guard checked: exactly one disposal record per asset.</t>
        </is>
      </c>
      <c r="J20" s="19" t="inlineStr">
        <is>
          <t>/admin/fixed-assets/uid/:uid</t>
        </is>
      </c>
      <c r="K20" s="19" t="inlineStr">
        <is>
          <t>FA.DISPOSE</t>
        </is>
      </c>
      <c r="L20" s="19" t="inlineStr"/>
      <c r="M20" s="8" t="inlineStr">
        <is>
          <t>Not Run</t>
        </is>
      </c>
      <c r="N20" s="8" t="inlineStr"/>
      <c r="O20" s="19" t="inlineStr"/>
      <c r="P20" s="19" t="inlineStr"/>
      <c r="Q20" s="19" t="inlineStr"/>
    </row>
    <row r="21">
      <c r="A21" s="15" t="inlineStr">
        <is>
          <t>FA-019</t>
        </is>
      </c>
      <c r="B21" s="16" t="inlineStr">
        <is>
          <t>FA Reconciliation</t>
        </is>
      </c>
      <c r="C21" s="16" t="inlineStr">
        <is>
          <t>FA reconciliation report shows cost and accum-dep ties (green when books match)</t>
        </is>
      </c>
      <c r="D21" s="17" t="inlineStr">
        <is>
          <t>Positive</t>
        </is>
      </c>
      <c r="E21" s="17" t="inlineStr">
        <is>
          <t>High</t>
        </is>
      </c>
      <c r="F21" s="16" t="inlineStr">
        <is>
          <t>Company A with IN_SERVICE assets; register and GL tie after posted runs. Logged in as ACCOUNTANT (has FA.VIEW).</t>
        </is>
      </c>
      <c r="G21" s="16" t="inlineStr">
        <is>
          <t>1. Navigate to /admin/fixed-assets/reconciliation.
2. Select company by name.</t>
        </is>
      </c>
      <c r="H21" s="16" t="inlineStr">
        <is>
          <t>Company A with matching FA register and GL.</t>
        </is>
      </c>
      <c r="I21" s="16" t="inlineStr">
        <is>
          <t>FixedAssetReconciliationDto returned. costTies and accumDepTies both true. Screen renders matching/ties indicators. Company with no FA activity shows zero bars that tie. A deliberate mismatch makes costTies=false and shows a 'does not tie' state.</t>
        </is>
      </c>
      <c r="J21" s="16" t="inlineStr">
        <is>
          <t>/admin/fixed-assets/reconciliation</t>
        </is>
      </c>
      <c r="K21" s="16" t="inlineStr">
        <is>
          <t>FA.VIEW</t>
        </is>
      </c>
      <c r="L21" s="16" t="inlineStr"/>
      <c r="M21" s="17" t="inlineStr">
        <is>
          <t>Not Run</t>
        </is>
      </c>
      <c r="N21" s="17" t="inlineStr"/>
      <c r="O21" s="16" t="inlineStr"/>
      <c r="P21" s="16" t="inlineStr"/>
      <c r="Q21" s="16" t="inlineStr"/>
    </row>
    <row r="22">
      <c r="A22" s="18" t="inlineStr">
        <is>
          <t>FA-020</t>
        </is>
      </c>
      <c r="B22" s="19" t="inlineStr">
        <is>
          <t>Permission Matrix</t>
        </is>
      </c>
      <c r="C22" s="19" t="inlineStr">
        <is>
          <t>FA permission matrix — each code gates only its actions</t>
        </is>
      </c>
      <c r="D22" s="8" t="inlineStr">
        <is>
          <t>Permission</t>
        </is>
      </c>
      <c r="E22" s="8" t="inlineStr">
        <is>
          <t>High</t>
        </is>
      </c>
      <c r="F22" s="19" t="inlineStr">
        <is>
          <t>CUSTOM roles each granting exactly one of: FA.CATEGORY.VIEW, FA.CATEGORY.MANAGE, FA.VIEW, FA.REGISTER.MANAGE, FA.DISPOSE, FA.DEPRECIATE. A no-permission user. rootadmin.</t>
        </is>
      </c>
      <c r="G22" s="19" t="inlineStr">
        <is>
          <t>1. For each role, attempt each FA endpoint and observe nav visibility and HTTP response.</t>
        </is>
      </c>
      <c r="H22" s="19" t="inlineStr">
        <is>
          <t>Six single-permission roles + no-permission user + rootadmin.</t>
        </is>
      </c>
      <c r="I22" s="19" t="inlineStr">
        <is>
          <t>FA.CATEGORY.VIEW: list/get categories only. FA.CATEGORY.MANAGE: create/update/archive. FA.VIEW: list/get assets, schedule, revaluations, reconciliation, run list/detail. FA.REGISTER.MANAGE: register, acquire-from-bill, update, place-in-service, transfer. FA.DISPOSE: dispose, write-off, revalue. FA.DEPRECIATE: preview and post runs. No-permission: all 403 and nav hidden. rootadmin: all allowed, all companies.</t>
        </is>
      </c>
      <c r="J22" s="19" t="inlineStr">
        <is>
          <t>/admin/fixed-assets</t>
        </is>
      </c>
      <c r="K22" s="19" t="inlineStr">
        <is>
          <t>FA.VIEW</t>
        </is>
      </c>
      <c r="L22" s="19" t="inlineStr"/>
      <c r="M22" s="8" t="inlineStr">
        <is>
          <t>Not Run</t>
        </is>
      </c>
      <c r="N22" s="8" t="inlineStr"/>
      <c r="O22" s="19" t="inlineStr"/>
      <c r="P22" s="19" t="inlineStr"/>
      <c r="Q22" s="19" t="inlineStr"/>
    </row>
  </sheetData>
  <autoFilter ref="A2:Q22"/>
  <mergeCells count="1">
    <mergeCell ref="A1:Q1"/>
  </mergeCells>
  <dataValidations count="4">
    <dataValidation sqref="D3:D22" showDropDown="0" showInputMessage="0" showErrorMessage="0" allowBlank="1" type="list">
      <formula1>"Positive,Negative,Permission,Edge"</formula1>
    </dataValidation>
    <dataValidation sqref="E3:E22" showDropDown="0" showInputMessage="0" showErrorMessage="0" allowBlank="1" type="list">
      <formula1>"High,Medium,Low"</formula1>
    </dataValidation>
    <dataValidation sqref="M3:M22" showDropDown="0" showInputMessage="0" showErrorMessage="0" allowBlank="1" type="list">
      <formula1>"Not Run,Pass,Fail,Blocked,N/A"</formula1>
    </dataValidation>
    <dataValidation sqref="N3:N22" showDropDown="0" showInputMessage="0" showErrorMessage="0" allowBlank="1" type="list">
      <formula1>"-,Critical,High,Medium,Low"</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23"/>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Budgeting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BUD-001</t>
        </is>
      </c>
      <c r="B3" s="16" t="inlineStr">
        <is>
          <t>Budget List</t>
        </is>
      </c>
      <c r="C3" s="16" t="inlineStr">
        <is>
          <t>Budget list loads paginated with company selector and four states</t>
        </is>
      </c>
      <c r="D3" s="17" t="inlineStr">
        <is>
          <t>Positive</t>
        </is>
      </c>
      <c r="E3" s="17" t="inlineStr">
        <is>
          <t>High</t>
        </is>
      </c>
      <c r="F3" s="16" t="inlineStr">
        <is>
          <t>At least one budget exists for the company. Logged in as ORG_ADMIN (has BUDGETING.BUDGET.VIEW).</t>
        </is>
      </c>
      <c r="G3" s="16" t="inlineStr">
        <is>
          <t>1. Navigate to /admin/budgets.
2. Observe company selector defaults to first company and list loads.
3. Read table rows: budget number, name, fiscal year, latest status badge.</t>
        </is>
      </c>
      <c r="H3" s="16" t="inlineStr">
        <is>
          <t>Company with seeded budgets.</t>
        </is>
      </c>
      <c r="I3" s="16" t="inlineStr">
        <is>
          <t>Table renders with rows. latestStatus badge shows APPROVED (preferred), else latest version status. ApiResponse&lt;List&lt;BudgetDto&gt;&gt; with meta. Paginator present (hidden if 1 page). No raw UID in any cell. No-permission user: nav item hidden and route blocked.</t>
        </is>
      </c>
      <c r="J3" s="16" t="inlineStr">
        <is>
          <t>/admin/budgets</t>
        </is>
      </c>
      <c r="K3" s="16" t="inlineStr">
        <is>
          <t>BUDGETING.BUDGET.VIEW</t>
        </is>
      </c>
      <c r="L3" s="16" t="inlineStr"/>
      <c r="M3" s="17" t="inlineStr">
        <is>
          <t>Not Run</t>
        </is>
      </c>
      <c r="N3" s="17" t="inlineStr"/>
      <c r="O3" s="16" t="inlineStr"/>
      <c r="P3" s="16" t="inlineStr"/>
      <c r="Q3" s="16" t="inlineStr"/>
    </row>
    <row r="4">
      <c r="A4" s="18" t="inlineStr">
        <is>
          <t>BUD-002</t>
        </is>
      </c>
      <c r="B4" s="19" t="inlineStr">
        <is>
          <t>Budget List</t>
        </is>
      </c>
      <c r="C4" s="19" t="inlineStr">
        <is>
          <t>Filter budget list by version status (DRAFT, SUBMITTED, APPROVED, REJECTED, SUPERSEDED)</t>
        </is>
      </c>
      <c r="D4" s="8" t="inlineStr">
        <is>
          <t>Positive</t>
        </is>
      </c>
      <c r="E4" s="8" t="inlineStr">
        <is>
          <t>Medium</t>
        </is>
      </c>
      <c r="F4" s="19" t="inlineStr">
        <is>
          <t>Budgets with versions across multiple statuses. Logged in as ORG_ADMIN.</t>
        </is>
      </c>
      <c r="G4" s="19" t="inlineStr">
        <is>
          <t>1. On /admin/budgets, choose status filter DRAFT.
2. Observe list reloads to page 0 with only matching budgets.
3. Repeat for SUBMITTED, APPROVED, REJECTED, SUPERSEDED, and All statuses.</t>
        </is>
      </c>
      <c r="H4" s="19" t="inlineStr">
        <is>
          <t>Budgets in all five version statuses.</t>
        </is>
      </c>
      <c r="I4" s="19" t="inlineStr">
        <is>
          <t>Each status filter sends versionStatus query param and returns only matching budgets. All statuses clears the filter. A status with no matches shows empty state (not error).</t>
        </is>
      </c>
      <c r="J4" s="19" t="inlineStr">
        <is>
          <t>/admin/budgets</t>
        </is>
      </c>
      <c r="K4" s="19" t="inlineStr">
        <is>
          <t>BUDGETING.BUDGET.VIEW</t>
        </is>
      </c>
      <c r="L4" s="19" t="inlineStr"/>
      <c r="M4" s="8" t="inlineStr">
        <is>
          <t>Not Run</t>
        </is>
      </c>
      <c r="N4" s="8" t="inlineStr"/>
      <c r="O4" s="19" t="inlineStr"/>
      <c r="P4" s="19" t="inlineStr"/>
      <c r="Q4" s="19" t="inlineStr"/>
    </row>
    <row r="5">
      <c r="A5" s="15" t="inlineStr">
        <is>
          <t>BUD-003</t>
        </is>
      </c>
      <c r="B5" s="16" t="inlineStr">
        <is>
          <t>Budget Create</t>
        </is>
      </c>
      <c r="C5" s="16" t="inlineStr">
        <is>
          <t>Create a company-wide budget — v1 DRAFT auto-created</t>
        </is>
      </c>
      <c r="D5" s="17" t="inlineStr">
        <is>
          <t>Positive</t>
        </is>
      </c>
      <c r="E5" s="17" t="inlineStr">
        <is>
          <t>High</t>
        </is>
      </c>
      <c r="F5" s="16" t="inlineStr">
        <is>
          <t>An active fiscal year exists. Logged in as ORG_ADMIN (has BUDGETING.BUDGET.MANAGE).</t>
        </is>
      </c>
      <c r="G5" s="16" t="inlineStr">
        <is>
          <t>1. On /admin/budgets, click to open the create form.
2. Enter Name: FY2026 Operating Budget.
3. Enter Fiscal Year UID (free-text field — current UI).
4. Submit.</t>
        </is>
      </c>
      <c r="H5" s="16" t="inlineStr">
        <is>
          <t>name: FY2026 Operating Budget, fiscalYearUid: &lt;seeded FY uid&gt;.</t>
        </is>
      </c>
      <c r="I5" s="16" t="inlineStr">
        <is>
          <t>HTTP 201. Success alert with budgetNumber. List reloads showing new budget with DRAFT v1. Service auto-creates version 1 in DRAFT. No GL posting (D-7). MANAGE required; VIEW-only role sees 403. C1 note: fiscal year is a free-text UID input today (documented gap).</t>
        </is>
      </c>
      <c r="J5" s="16" t="inlineStr">
        <is>
          <t>/admin/budgets</t>
        </is>
      </c>
      <c r="K5" s="16" t="inlineStr">
        <is>
          <t>BUDGETING.BUDGET.MANAGE</t>
        </is>
      </c>
      <c r="L5" s="16" t="inlineStr"/>
      <c r="M5" s="17" t="inlineStr">
        <is>
          <t>Not Run</t>
        </is>
      </c>
      <c r="N5" s="17" t="inlineStr"/>
      <c r="O5" s="16" t="inlineStr"/>
      <c r="P5" s="16" t="inlineStr"/>
      <c r="Q5" s="16" t="inlineStr"/>
    </row>
    <row r="6">
      <c r="A6" s="18" t="inlineStr">
        <is>
          <t>BUD-004</t>
        </is>
      </c>
      <c r="B6" s="19" t="inlineStr">
        <is>
          <t>Budget Create</t>
        </is>
      </c>
      <c r="C6" s="19" t="inlineStr">
        <is>
          <t>Duplicate budget scope rejected — same company+fiscalYear+costCentre</t>
        </is>
      </c>
      <c r="D6" s="8" t="inlineStr">
        <is>
          <t>Negative</t>
        </is>
      </c>
      <c r="E6" s="8" t="inlineStr">
        <is>
          <t>High</t>
        </is>
      </c>
      <c r="F6" s="19" t="inlineStr">
        <is>
          <t>A company-wide budget already exists for the fiscal year. Logged in as ORG_ADMIN.</t>
        </is>
      </c>
      <c r="G6" s="19" t="inlineStr">
        <is>
          <t>1. Attempt to create a second company-wide budget for the same fiscal year.</t>
        </is>
      </c>
      <c r="H6" s="19" t="inlineStr">
        <is>
          <t>Same company + same FY + null cost centre.</t>
        </is>
      </c>
      <c r="I6" s="19" t="inlineStr">
        <is>
          <t>ConflictException: 'A budget already exists for this fiscal year and cost centre scope.' Surfaced as errors[0] in the form. A different cost-centre value for the same FY is allowed.</t>
        </is>
      </c>
      <c r="J6" s="19" t="inlineStr">
        <is>
          <t>/admin/budgets</t>
        </is>
      </c>
      <c r="K6" s="19" t="inlineStr">
        <is>
          <t>BUDGETING.BUDGET.MANAGE</t>
        </is>
      </c>
      <c r="L6" s="19" t="inlineStr"/>
      <c r="M6" s="8" t="inlineStr">
        <is>
          <t>Not Run</t>
        </is>
      </c>
      <c r="N6" s="8" t="inlineStr"/>
      <c r="O6" s="19" t="inlineStr"/>
      <c r="P6" s="19" t="inlineStr"/>
      <c r="Q6" s="19" t="inlineStr"/>
    </row>
    <row r="7">
      <c r="A7" s="15" t="inlineStr">
        <is>
          <t>BUD-005</t>
        </is>
      </c>
      <c r="B7" s="16" t="inlineStr">
        <is>
          <t>Budget Versions</t>
        </is>
      </c>
      <c r="C7" s="16" t="inlineStr">
        <is>
          <t>Budget detail shows header and all versions with status badges</t>
        </is>
      </c>
      <c r="D7" s="17" t="inlineStr">
        <is>
          <t>Positive</t>
        </is>
      </c>
      <c r="E7" s="17" t="inlineStr">
        <is>
          <t>High</t>
        </is>
      </c>
      <c r="F7" s="16" t="inlineStr">
        <is>
          <t>A budget with 2+ versions in differing statuses. Logged in as ORG_ADMIN.</t>
        </is>
      </c>
      <c r="G7" s="16" t="inlineStr">
        <is>
          <t>1. From the list, open a budget row.
2. Read the header (number, name) and the versions list ordered version-no desc.</t>
        </is>
      </c>
      <c r="H7" s="16" t="inlineStr">
        <is>
          <t>Budget with versions V1 (APPROVED), V2 (DRAFT).</t>
        </is>
      </c>
      <c r="I7" s="16" t="inlineStr">
        <is>
          <t>Header + versions render. Each version shows version-no as V{n}, label, status badge, line count. Action buttons appear conditionally by status + permission. UID is only in the URL, not shown as a label.</t>
        </is>
      </c>
      <c r="J7" s="16" t="inlineStr">
        <is>
          <t>/admin/budgets/uid/:uid</t>
        </is>
      </c>
      <c r="K7" s="16" t="inlineStr">
        <is>
          <t>BUDGETING.BUDGET.VIEW</t>
        </is>
      </c>
      <c r="L7" s="16" t="inlineStr"/>
      <c r="M7" s="17" t="inlineStr">
        <is>
          <t>Not Run</t>
        </is>
      </c>
      <c r="N7" s="17" t="inlineStr"/>
      <c r="O7" s="16" t="inlineStr"/>
      <c r="P7" s="16" t="inlineStr"/>
      <c r="Q7" s="16" t="inlineStr"/>
    </row>
    <row r="8">
      <c r="A8" s="18" t="inlineStr">
        <is>
          <t>BUD-006</t>
        </is>
      </c>
      <c r="B8" s="19" t="inlineStr">
        <is>
          <t>Budget Versions</t>
        </is>
      </c>
      <c r="C8" s="19" t="inlineStr">
        <is>
          <t>Re-plan: seed a new version from a prior version using picker</t>
        </is>
      </c>
      <c r="D8" s="8" t="inlineStr">
        <is>
          <t>Positive</t>
        </is>
      </c>
      <c r="E8" s="8" t="inlineStr">
        <is>
          <t>High</t>
        </is>
      </c>
      <c r="F8" s="19" t="inlineStr">
        <is>
          <t>A budget with an APPROVED v1 containing several lines. Logged in as ORG_ADMIN (has BUDGETING.BUDGET.MANAGE).</t>
        </is>
      </c>
      <c r="G8" s="19" t="inlineStr">
        <is>
          <t>1. On budget detail, open New version form.
2. In the Seed from version picker, choose V1 by its label (e.g. V1 — label, hint = APPROVED).
3. Submit.</t>
        </is>
      </c>
      <c r="H8" s="19" t="inlineStr">
        <is>
          <t>seedFromVersionUid chosen via picker (not typed).</t>
        </is>
      </c>
      <c r="I8" s="19" t="inlineStr">
        <is>
          <t>HTTP 201. New DRAFT version with all lines copied (same accounts, periods, amounts, memos). seededFromVersionId set. Original version unchanged. C1: version chosen via picker by human label — no raw UID typed.</t>
        </is>
      </c>
      <c r="J8" s="19" t="inlineStr">
        <is>
          <t>/admin/budgets/uid/:uid</t>
        </is>
      </c>
      <c r="K8" s="19" t="inlineStr">
        <is>
          <t>BUDGETING.BUDGET.MANAGE</t>
        </is>
      </c>
      <c r="L8" s="19" t="inlineStr"/>
      <c r="M8" s="8" t="inlineStr">
        <is>
          <t>Not Run</t>
        </is>
      </c>
      <c r="N8" s="8" t="inlineStr"/>
      <c r="O8" s="19" t="inlineStr"/>
      <c r="P8" s="19" t="inlineStr"/>
      <c r="Q8" s="19" t="inlineStr"/>
    </row>
    <row r="9">
      <c r="A9" s="15" t="inlineStr">
        <is>
          <t>BUD-007</t>
        </is>
      </c>
      <c r="B9" s="16" t="inlineStr">
        <is>
          <t>Budget Lines</t>
        </is>
      </c>
      <c r="C9" s="16" t="inlineStr">
        <is>
          <t>Upsert budget lines DIRECT mode — account and period via pickers</t>
        </is>
      </c>
      <c r="D9" s="17" t="inlineStr">
        <is>
          <t>Positive</t>
        </is>
      </c>
      <c r="E9" s="17" t="inlineStr">
        <is>
          <t>High</t>
        </is>
      </c>
      <c r="F9" s="16" t="inlineStr">
        <is>
          <t>A DRAFT version. Active GL accounts and 12 fiscal periods exist. Logged in as ORG_ADMIN (has BUDGETING.BUDGET.MANAGE).</t>
        </is>
      </c>
      <c r="G9" s="16" t="inlineStr">
        <is>
          <t>1. Open the DRAFT version detail; click Edit Lines (Replace All).
2. Mode = DIRECT (default).
3. In Account picker, select account by name (hint = code).
4. In Period picker, select P3 by label.
5. Enter amount: 12000.50; memo: Q1 marketing.
6. Add a second line for a different period.
7. Submit Replace Lines.</t>
        </is>
      </c>
      <c r="H9" s="16" t="inlineStr">
        <is>
          <t>Account by name. Period: P3. amount: 12000.50. memo: Q1 marketing.</t>
        </is>
      </c>
      <c r="I9" s="16" t="inlineStr">
        <is>
          <t>HTTP 200. Version returned with two lines. Amount stored scale 4 HALF_UP. Table + grand total update. Success alert 'N line(s)'. C1: account and period selected by name/label — no typed UID.</t>
        </is>
      </c>
      <c r="J9" s="16" t="inlineStr">
        <is>
          <t>/admin/budget-versions/uid/:uid</t>
        </is>
      </c>
      <c r="K9" s="16" t="inlineStr">
        <is>
          <t>BUDGETING.BUDGET.MANAGE</t>
        </is>
      </c>
      <c r="L9" s="16" t="inlineStr"/>
      <c r="M9" s="17" t="inlineStr">
        <is>
          <t>Not Run</t>
        </is>
      </c>
      <c r="N9" s="17" t="inlineStr"/>
      <c r="O9" s="16" t="inlineStr"/>
      <c r="P9" s="16" t="inlineStr"/>
      <c r="Q9" s="16" t="inlineStr"/>
    </row>
    <row r="10">
      <c r="A10" s="18" t="inlineStr">
        <is>
          <t>BUD-008</t>
        </is>
      </c>
      <c r="B10" s="19" t="inlineStr">
        <is>
          <t>Budget Lines</t>
        </is>
      </c>
      <c r="C10" s="19" t="inlineStr">
        <is>
          <t>Upsert budget lines ANNUAL_SPREAD mode — even spread with remainder on last period</t>
        </is>
      </c>
      <c r="D10" s="8" t="inlineStr">
        <is>
          <t>Positive</t>
        </is>
      </c>
      <c r="E10" s="8" t="inlineStr">
        <is>
          <t>High</t>
        </is>
      </c>
      <c r="F10" s="19" t="inlineStr">
        <is>
          <t>DRAFT version with FY having exactly 12 periods. Logged in as ORG_ADMIN.</t>
        </is>
      </c>
      <c r="G10" s="19" t="inlineStr">
        <is>
          <t>1. Open Edit Lines; choose mode Annual spread.
2. Pick account via picker.
3. Enter annual amount: 100000.
4. Submit.</t>
        </is>
      </c>
      <c r="H10" s="19" t="inlineStr">
        <is>
          <t>annualAmount: 100000, FY with 12 periods.</t>
        </is>
      </c>
      <c r="I10" s="19" t="inlineStr">
        <is>
          <t>HTTP 200. 12 lines created, one per period. Per-period = 8333.3333 x11, last period absorbs remainder so sum = 100000.0000 exactly (HALF_UP, scale 4, via BudgetSpreadCalculator). Currency is TZS (server constant, not user-settable).</t>
        </is>
      </c>
      <c r="J10" s="19" t="inlineStr">
        <is>
          <t>/admin/budget-versions/uid/:uid</t>
        </is>
      </c>
      <c r="K10" s="19" t="inlineStr">
        <is>
          <t>BUDGETING.BUDGET.MANAGE</t>
        </is>
      </c>
      <c r="L10" s="19" t="inlineStr"/>
      <c r="M10" s="8" t="inlineStr">
        <is>
          <t>Not Run</t>
        </is>
      </c>
      <c r="N10" s="8" t="inlineStr"/>
      <c r="O10" s="19" t="inlineStr"/>
      <c r="P10" s="19" t="inlineStr"/>
      <c r="Q10" s="19" t="inlineStr"/>
    </row>
    <row r="11">
      <c r="A11" s="15" t="inlineStr">
        <is>
          <t>BUD-009</t>
        </is>
      </c>
      <c r="B11" s="16" t="inlineStr">
        <is>
          <t>Budget Lines</t>
        </is>
      </c>
      <c r="C11" s="16" t="inlineStr">
        <is>
          <t>Line amount must be 0 or positive — negative amount rejected (BR-BUD-09)</t>
        </is>
      </c>
      <c r="D11" s="17" t="inlineStr">
        <is>
          <t>Negative</t>
        </is>
      </c>
      <c r="E11" s="17" t="inlineStr">
        <is>
          <t>High</t>
        </is>
      </c>
      <c r="F11" s="16" t="inlineStr">
        <is>
          <t>A DRAFT version. Logged in as ORG_ADMIN.</t>
        </is>
      </c>
      <c r="G11" s="16" t="inlineStr">
        <is>
          <t>1. In DIRECT mode, enter amount = -100.
2. Submit.</t>
        </is>
      </c>
      <c r="H11" s="16" t="inlineStr">
        <is>
          <t>amount: -100.</t>
        </is>
      </c>
      <c r="I11" s="16" t="inlineStr">
        <is>
          <t>ConflictException: 'amount must be &gt;= 0 (BR-BUD-09).' HTTP 409/400. No lines saved. Amount = 0 is allowed.</t>
        </is>
      </c>
      <c r="J11" s="16" t="inlineStr">
        <is>
          <t>/admin/budget-versions/uid/:uid</t>
        </is>
      </c>
      <c r="K11" s="16" t="inlineStr">
        <is>
          <t>BUDGETING.BUDGET.MANAGE</t>
        </is>
      </c>
      <c r="L11" s="16" t="inlineStr"/>
      <c r="M11" s="17" t="inlineStr">
        <is>
          <t>Not Run</t>
        </is>
      </c>
      <c r="N11" s="17" t="inlineStr"/>
      <c r="O11" s="16" t="inlineStr"/>
      <c r="P11" s="16" t="inlineStr"/>
      <c r="Q11" s="16" t="inlineStr"/>
    </row>
    <row r="12">
      <c r="A12" s="18" t="inlineStr">
        <is>
          <t>BUD-010</t>
        </is>
      </c>
      <c r="B12" s="19" t="inlineStr">
        <is>
          <t>Budget Lines</t>
        </is>
      </c>
      <c r="C12" s="19" t="inlineStr">
        <is>
          <t>Edit lines blocked when version is not DRAFT</t>
        </is>
      </c>
      <c r="D12" s="8" t="inlineStr">
        <is>
          <t>Negative</t>
        </is>
      </c>
      <c r="E12" s="8" t="inlineStr">
        <is>
          <t>High</t>
        </is>
      </c>
      <c r="F12" s="19" t="inlineStr">
        <is>
          <t>Versions in SUBMITTED, APPROVED, REJECTED, SUPERSEDED. Logged in as ORG_ADMIN.</t>
        </is>
      </c>
      <c r="G12" s="19" t="inlineStr">
        <is>
          <t>1. For each non-DRAFT version, attempt PUT .../lines via API (UI hides the button).</t>
        </is>
      </c>
      <c r="H12" s="19" t="inlineStr">
        <is>
          <t>Non-DRAFT version statuses: SUBMITTED, APPROVED, REJECTED, SUPERSEDED.</t>
        </is>
      </c>
      <c r="I12" s="19" t="inlineStr">
        <is>
          <t>ConflictException: 'Budget version lines are editable only in DRAFT status; current: &lt;status&gt;.' UI never shows the edit button when not DRAFT. Recalling a SUBMITTED back to DRAFT then allows editing again.</t>
        </is>
      </c>
      <c r="J12" s="19" t="inlineStr">
        <is>
          <t>/admin/budget-versions/uid/:uid</t>
        </is>
      </c>
      <c r="K12" s="19" t="inlineStr">
        <is>
          <t>BUDGETING.BUDGET.MANAGE</t>
        </is>
      </c>
      <c r="L12" s="19" t="inlineStr"/>
      <c r="M12" s="8" t="inlineStr">
        <is>
          <t>Not Run</t>
        </is>
      </c>
      <c r="N12" s="8" t="inlineStr"/>
      <c r="O12" s="19" t="inlineStr"/>
      <c r="P12" s="19" t="inlineStr"/>
      <c r="Q12" s="19" t="inlineStr"/>
    </row>
    <row r="13">
      <c r="A13" s="15" t="inlineStr">
        <is>
          <t>BUD-011</t>
        </is>
      </c>
      <c r="B13" s="16" t="inlineStr">
        <is>
          <t>Version Lifecycle</t>
        </is>
      </c>
      <c r="C13" s="16" t="inlineStr">
        <is>
          <t>Submit DRAFT version to SUBMITTED — requires at least one line (BR-BUD-11)</t>
        </is>
      </c>
      <c r="D13" s="17" t="inlineStr">
        <is>
          <t>Positive</t>
        </is>
      </c>
      <c r="E13" s="17" t="inlineStr">
        <is>
          <t>High</t>
        </is>
      </c>
      <c r="F13" s="16" t="inlineStr">
        <is>
          <t>A DRAFT version with at least one line. Logged in as ORG_ADMIN (has BUDGETING.BUDGET.SUBMIT).</t>
        </is>
      </c>
      <c r="G13" s="16" t="inlineStr">
        <is>
          <t>1. On budget detail, click Submit on the DRAFT version.</t>
        </is>
      </c>
      <c r="H13" s="16" t="inlineStr">
        <is>
          <t>DRAFT version with lines.</t>
        </is>
      </c>
      <c r="I13" s="16" t="inlineStr">
        <is>
          <t>Status -&gt; SUBMITTED. submittedAt and submittedBy stamped. Success alert. Lines now locked. Submitting a DRAFT with NO lines returns ConflictException: 'must have at least one line before submission (BR-BUD-11).' MANAGE-but-no-SUBMIT role returns 403.</t>
        </is>
      </c>
      <c r="J13" s="16" t="inlineStr">
        <is>
          <t>/admin/budgets/uid/:uid</t>
        </is>
      </c>
      <c r="K13" s="16" t="inlineStr">
        <is>
          <t>BUDGETING.BUDGET.SUBMIT</t>
        </is>
      </c>
      <c r="L13" s="16" t="inlineStr"/>
      <c r="M13" s="17" t="inlineStr">
        <is>
          <t>Not Run</t>
        </is>
      </c>
      <c r="N13" s="17" t="inlineStr"/>
      <c r="O13" s="16" t="inlineStr"/>
      <c r="P13" s="16" t="inlineStr"/>
      <c r="Q13" s="16" t="inlineStr"/>
    </row>
    <row r="14">
      <c r="A14" s="18" t="inlineStr">
        <is>
          <t>BUD-012</t>
        </is>
      </c>
      <c r="B14" s="19" t="inlineStr">
        <is>
          <t>Version Lifecycle</t>
        </is>
      </c>
      <c r="C14" s="19" t="inlineStr">
        <is>
          <t>Recall SUBMITTED version back to DRAFT</t>
        </is>
      </c>
      <c r="D14" s="8" t="inlineStr">
        <is>
          <t>Positive</t>
        </is>
      </c>
      <c r="E14" s="8" t="inlineStr">
        <is>
          <t>High</t>
        </is>
      </c>
      <c r="F14" s="19" t="inlineStr">
        <is>
          <t>A SUBMITTED version. Logged in as ORG_ADMIN (has BUDGETING.BUDGET.SUBMIT).</t>
        </is>
      </c>
      <c r="G14" s="19" t="inlineStr">
        <is>
          <t>1. On budget detail, click Recall on the SUBMITTED version.</t>
        </is>
      </c>
      <c r="H14" s="19" t="inlineStr">
        <is>
          <t>A SUBMITTED version.</t>
        </is>
      </c>
      <c r="I14" s="19" t="inlineStr">
        <is>
          <t>Status -&gt; DRAFT. submittedAt and submittedBy cleared (null). Lines editable again. Alert 'recalled to Draft'. Recalling a DRAFT/APPROVED/REJECTED/SUPERSEDED returns: 'Only a SUBMITTED version can be recalled; current: &lt;status&gt;.' Without SUBMIT permission: 403.</t>
        </is>
      </c>
      <c r="J14" s="19" t="inlineStr">
        <is>
          <t>/admin/budgets/uid/:uid</t>
        </is>
      </c>
      <c r="K14" s="19" t="inlineStr">
        <is>
          <t>BUDGETING.BUDGET.SUBMIT</t>
        </is>
      </c>
      <c r="L14" s="19" t="inlineStr"/>
      <c r="M14" s="8" t="inlineStr">
        <is>
          <t>Not Run</t>
        </is>
      </c>
      <c r="N14" s="8" t="inlineStr"/>
      <c r="O14" s="19" t="inlineStr"/>
      <c r="P14" s="19" t="inlineStr"/>
      <c r="Q14" s="19" t="inlineStr"/>
    </row>
    <row r="15">
      <c r="A15" s="15" t="inlineStr">
        <is>
          <t>BUD-013</t>
        </is>
      </c>
      <c r="B15" s="16" t="inlineStr">
        <is>
          <t>Version Lifecycle</t>
        </is>
      </c>
      <c r="C15" s="16" t="inlineStr">
        <is>
          <t>Approve SUBMITTED version — supersedes prior APPROVED in the same scope</t>
        </is>
      </c>
      <c r="D15" s="17" t="inlineStr">
        <is>
          <t>Positive</t>
        </is>
      </c>
      <c r="E15" s="17" t="inlineStr">
        <is>
          <t>High</t>
        </is>
      </c>
      <c r="F15" s="16" t="inlineStr">
        <is>
          <t>V1 APPROVED. V2 SUBMITTED (same company/FY scope). Logged in as ORG_ADMIN (has BUDGETING.BUDGET.APPROVE).</t>
        </is>
      </c>
      <c r="G15" s="16" t="inlineStr">
        <is>
          <t>1. Click Approve on V2.
2. Optionally enter approve note: Approved by finance committee.
3. Confirm.</t>
        </is>
      </c>
      <c r="H15" s="16" t="inlineStr">
        <is>
          <t>note: Approved by finance committee.</t>
        </is>
      </c>
      <c r="I15" s="16" t="inlineStr">
        <is>
          <t>V2 -&gt; APPROVED (approvedAt, approvedBy, decisionReason set). V1 -&gt; SUPERSEDED (supersededAt set) in the same transaction. Budget reloads showing both. PESSIMISTIC_WRITE serialises concurrent approvals. SUBMIT-only role returns 403.</t>
        </is>
      </c>
      <c r="J15" s="16" t="inlineStr">
        <is>
          <t>/admin/budgets/uid/:uid</t>
        </is>
      </c>
      <c r="K15" s="16" t="inlineStr">
        <is>
          <t>BUDGETING.BUDGET.APPROVE</t>
        </is>
      </c>
      <c r="L15" s="16" t="inlineStr"/>
      <c r="M15" s="17" t="inlineStr">
        <is>
          <t>Not Run</t>
        </is>
      </c>
      <c r="N15" s="17" t="inlineStr"/>
      <c r="O15" s="16" t="inlineStr"/>
      <c r="P15" s="16" t="inlineStr"/>
      <c r="Q15" s="16" t="inlineStr"/>
    </row>
    <row r="16">
      <c r="A16" s="18" t="inlineStr">
        <is>
          <t>BUD-014</t>
        </is>
      </c>
      <c r="B16" s="19" t="inlineStr">
        <is>
          <t>Version Lifecycle</t>
        </is>
      </c>
      <c r="C16" s="19" t="inlineStr">
        <is>
          <t>Reject SUBMITTED version — reason is required</t>
        </is>
      </c>
      <c r="D16" s="8" t="inlineStr">
        <is>
          <t>Positive</t>
        </is>
      </c>
      <c r="E16" s="8" t="inlineStr">
        <is>
          <t>High</t>
        </is>
      </c>
      <c r="F16" s="19" t="inlineStr">
        <is>
          <t>A SUBMITTED version. Logged in as ORG_ADMIN (has BUDGETING.BUDGET.APPROVE).</t>
        </is>
      </c>
      <c r="G16" s="19" t="inlineStr">
        <is>
          <t>1. Click Reject on the SUBMITTED version.
2. Leave reason blank — expect client error.
3. Enter reason: Over budget ceiling; revise opex.
4. Confirm.</t>
        </is>
      </c>
      <c r="H16" s="19" t="inlineStr">
        <is>
          <t>reason: Over budget ceiling; revise opex.</t>
        </is>
      </c>
      <c r="I16" s="19" t="inlineStr">
        <is>
          <t>Blank reason: 'Rejection reason is required' (client) and @NotBlank 400 (server). With reason: status -&gt; REJECTED (rejectedAt, rejectedBy, decisionReason=reason). Terminal state — re-plan via a new version. Without APPROVE permission: 403.</t>
        </is>
      </c>
      <c r="J16" s="19" t="inlineStr">
        <is>
          <t>/admin/budgets/uid/:uid</t>
        </is>
      </c>
      <c r="K16" s="19" t="inlineStr">
        <is>
          <t>BUDGETING.BUDGET.APPROVE</t>
        </is>
      </c>
      <c r="L16" s="19" t="inlineStr"/>
      <c r="M16" s="8" t="inlineStr">
        <is>
          <t>Not Run</t>
        </is>
      </c>
      <c r="N16" s="8" t="inlineStr"/>
      <c r="O16" s="19" t="inlineStr"/>
      <c r="P16" s="19" t="inlineStr"/>
      <c r="Q16" s="19" t="inlineStr"/>
    </row>
    <row r="17">
      <c r="A17" s="15" t="inlineStr">
        <is>
          <t>BUD-015</t>
        </is>
      </c>
      <c r="B17" s="16" t="inlineStr">
        <is>
          <t>Version Lifecycle</t>
        </is>
      </c>
      <c r="C17" s="16" t="inlineStr">
        <is>
          <t>Illegal lifecycle transitions — approve/reject/submit from terminal or wrong states</t>
        </is>
      </c>
      <c r="D17" s="17" t="inlineStr">
        <is>
          <t>Negative</t>
        </is>
      </c>
      <c r="E17" s="17" t="inlineStr">
        <is>
          <t>High</t>
        </is>
      </c>
      <c r="F17" s="16" t="inlineStr">
        <is>
          <t>Versions in DRAFT, APPROVED, REJECTED, SUPERSEDED. Logged in as ORG_ADMIN.</t>
        </is>
      </c>
      <c r="G17" s="16" t="inlineStr">
        <is>
          <t>1. Attempt to approve a DRAFT version.
2. Attempt to reject a DRAFT version.
3. Attempt to submit an already-SUBMITTED version.
4. Attempt any lifecycle action on APPROVED, REJECTED, SUPERSEDED.</t>
        </is>
      </c>
      <c r="H17" s="16" t="inlineStr">
        <is>
          <t>Versions in each illegal source state.</t>
        </is>
      </c>
      <c r="I17" s="16" t="inlineStr">
        <is>
          <t>ConflictException for each: 'Only a SUBMITTED version can be approved/rejected; current: &lt;status&gt;.' and 'Only a DRAFT version can be submitted; current: &lt;status&gt;.' Terminal states (REJECTED, SUPERSEDED) accept no lifecycle action.</t>
        </is>
      </c>
      <c r="J17" s="16" t="inlineStr">
        <is>
          <t>/admin/budgets/uid/:uid</t>
        </is>
      </c>
      <c r="K17" s="16" t="inlineStr">
        <is>
          <t>BUDGETING.BUDGET.APPROVE</t>
        </is>
      </c>
      <c r="L17" s="16" t="inlineStr"/>
      <c r="M17" s="17" t="inlineStr">
        <is>
          <t>Not Run</t>
        </is>
      </c>
      <c r="N17" s="17" t="inlineStr"/>
      <c r="O17" s="16" t="inlineStr"/>
      <c r="P17" s="16" t="inlineStr"/>
      <c r="Q17" s="16" t="inlineStr"/>
    </row>
    <row r="18">
      <c r="A18" s="18" t="inlineStr">
        <is>
          <t>BUD-016</t>
        </is>
      </c>
      <c r="B18" s="19" t="inlineStr">
        <is>
          <t>Version Lifecycle</t>
        </is>
      </c>
      <c r="C18" s="19" t="inlineStr">
        <is>
          <t>Lifecycle action buttons gated by status and permission in UI</t>
        </is>
      </c>
      <c r="D18" s="8" t="inlineStr">
        <is>
          <t>Permission</t>
        </is>
      </c>
      <c r="E18" s="8" t="inlineStr">
        <is>
          <t>High</t>
        </is>
      </c>
      <c r="F18" s="19" t="inlineStr">
        <is>
          <t>A budget with DRAFT and SUBMITTED versions. CUSTOM roles: VIEW-only, VIEW+MANAGE, VIEW+SUBMIT, VIEW+APPROVE.</t>
        </is>
      </c>
      <c r="G18" s="19" t="inlineStr">
        <is>
          <t>1. For each role, open the budget detail.
2. Observe which action buttons render per version status.</t>
        </is>
      </c>
      <c r="H18" s="19" t="inlineStr">
        <is>
          <t>Four CUSTOM roles. One DRAFT and one SUBMITTED version.</t>
        </is>
      </c>
      <c r="I18" s="19" t="inlineStr">
        <is>
          <t>Submit/Recall visible only with BUDGETING.BUDGET.SUBMIT. Approve/Reject only with BUDGETING.BUDGET.APPROVE. New version/Edit only with BUDGETING.BUDGET.MANAGE. Buttons shown only for legal transitions (Submit on DRAFT, Recall/Approve/Reject on SUBMITTED). VIEW-only sees no lifecycle buttons.</t>
        </is>
      </c>
      <c r="J18" s="19" t="inlineStr">
        <is>
          <t>/admin/budgets/uid/:uid</t>
        </is>
      </c>
      <c r="K18" s="19" t="inlineStr">
        <is>
          <t>BUDGETING.BUDGET.VIEW</t>
        </is>
      </c>
      <c r="L18" s="19" t="inlineStr"/>
      <c r="M18" s="8" t="inlineStr">
        <is>
          <t>Not Run</t>
        </is>
      </c>
      <c r="N18" s="8" t="inlineStr"/>
      <c r="O18" s="19" t="inlineStr"/>
      <c r="P18" s="19" t="inlineStr"/>
      <c r="Q18" s="19" t="inlineStr"/>
    </row>
    <row r="19">
      <c r="A19" s="15" t="inlineStr">
        <is>
          <t>BUD-017</t>
        </is>
      </c>
      <c r="B19" s="16" t="inlineStr">
        <is>
          <t>Variance Report</t>
        </is>
      </c>
      <c r="C19" s="16" t="inlineStr">
        <is>
          <t>Budget Variance report runs with full year and all account types</t>
        </is>
      </c>
      <c r="D19" s="17" t="inlineStr">
        <is>
          <t>Positive</t>
        </is>
      </c>
      <c r="E19" s="17" t="inlineStr">
        <is>
          <t>High</t>
        </is>
      </c>
      <c r="F19" s="16" t="inlineStr">
        <is>
          <t>An APPROVED budget + posted GL actuals for the FY. Logged in as ORG_ADMIN (has BUDGETING.REPORT.VIEW).</t>
        </is>
      </c>
      <c r="G19" s="16" t="inlineStr">
        <is>
          <t>1. Navigate to /admin/budgeting/variance.
2. Select company; enter Fiscal Year UID (free-text).
3. From = 1, To = 12, Account type = All.
4. Click Run.</t>
        </is>
      </c>
      <c r="H19" s="16" t="inlineStr">
        <is>
          <t>Fiscal Year UID: &lt;seeded FY uid&gt;. Periods 1-12.</t>
        </is>
      </c>
      <c r="I19" s="16" t="inlineStr">
        <is>
          <t>Report renders per-account rows: budget, actual, variance (actual - budget), variancePct (null when budget=0). Totals by AccountType. Favourable/adverse label in UI. INCOME: actual &gt; budget = Favourable. EXPENSE: actual &lt; budget = Favourable. ASSET/LIAB/EQUITY = neutral. No-permission: 403/forbidden.</t>
        </is>
      </c>
      <c r="J19" s="16" t="inlineStr">
        <is>
          <t>/admin/budgeting/variance</t>
        </is>
      </c>
      <c r="K19" s="16" t="inlineStr">
        <is>
          <t>BUDGETING.REPORT.VIEW</t>
        </is>
      </c>
      <c r="L19" s="16" t="inlineStr"/>
      <c r="M19" s="17" t="inlineStr">
        <is>
          <t>Not Run</t>
        </is>
      </c>
      <c r="N19" s="17" t="inlineStr"/>
      <c r="O19" s="16" t="inlineStr"/>
      <c r="P19" s="16" t="inlineStr"/>
      <c r="Q19" s="16" t="inlineStr"/>
    </row>
    <row r="20">
      <c r="A20" s="18" t="inlineStr">
        <is>
          <t>BUD-018</t>
        </is>
      </c>
      <c r="B20" s="19" t="inlineStr">
        <is>
          <t>Variance Report</t>
        </is>
      </c>
      <c r="C20" s="19" t="inlineStr">
        <is>
          <t>Variance report cross-tenant isolation — company A user denied company B data</t>
        </is>
      </c>
      <c r="D20" s="8" t="inlineStr">
        <is>
          <t>Negative</t>
        </is>
      </c>
      <c r="E20" s="8" t="inlineStr">
        <is>
          <t>High</t>
        </is>
      </c>
      <c r="F20" s="19" t="inlineStr">
        <is>
          <t>Two companies A and B. User assigned only to company A. Logged in as that user.</t>
        </is>
      </c>
      <c r="G20" s="19" t="inlineStr">
        <is>
          <t>1. Call GET /api/v1/budgeting/variance?companyId=&lt;B&gt;.
2. Attempt GET /api/v1/budget-versions/uid/{B-version-uid}.</t>
        </is>
      </c>
      <c r="H20" s="19" t="inlineStr">
        <is>
          <t>Company B companyId. Company B version UID.</t>
        </is>
      </c>
      <c r="I20" s="19" t="inlineStr">
        <is>
          <t>assertCanActIn denies cross-company (403). Resources resolved with mismatched companyId yield NotFound (FY/DimensionValue filtered by company). List never returns Company B rows even without explicit filter.</t>
        </is>
      </c>
      <c r="J20" s="19" t="inlineStr">
        <is>
          <t>/admin/budgeting/variance</t>
        </is>
      </c>
      <c r="K20" s="19" t="inlineStr">
        <is>
          <t>BUDGETING.REPORT.VIEW</t>
        </is>
      </c>
      <c r="L20" s="19" t="inlineStr"/>
      <c r="M20" s="8" t="inlineStr">
        <is>
          <t>Not Run</t>
        </is>
      </c>
      <c r="N20" s="8" t="inlineStr"/>
      <c r="O20" s="19" t="inlineStr"/>
      <c r="P20" s="19" t="inlineStr"/>
      <c r="Q20" s="19" t="inlineStr"/>
    </row>
    <row r="21">
      <c r="A21" s="15" t="inlineStr">
        <is>
          <t>BUD-019</t>
        </is>
      </c>
      <c r="B21" s="16" t="inlineStr">
        <is>
          <t>Departmental Actuals</t>
        </is>
      </c>
      <c r="C21" s="16" t="inlineStr">
        <is>
          <t>Departmental actuals report shows GL actuals grouped by cost-centre x account</t>
        </is>
      </c>
      <c r="D21" s="17" t="inlineStr">
        <is>
          <t>Positive</t>
        </is>
      </c>
      <c r="E21" s="17" t="inlineStr">
        <is>
          <t>High</t>
        </is>
      </c>
      <c r="F21" s="16" t="inlineStr">
        <is>
          <t>Fiscal year with GL postings tagged to cost centres. Logged in as ORG_ADMIN (has BUDGETING.REPORT.VIEW).</t>
        </is>
      </c>
      <c r="G21" s="16" t="inlineStr">
        <is>
          <t>1. Navigate to /admin/budgeting/departmental-actuals.
2. Select company; enter Fiscal Year UID; from=1, to=12.
3. Click Run.</t>
        </is>
      </c>
      <c r="H21" s="16" t="inlineStr">
        <is>
          <t>Fiscal Year UID: &lt;seeded FY uid&gt;. Periods 1-12.</t>
        </is>
      </c>
      <c r="I21" s="16" t="inlineStr">
        <is>
          <t>Rows grouped by cost-centre value x account with actualAmount. Null cost-centre = Unallocated bucket. No budget join (actuals only). Missing company or FY UID -&gt; client validation error. No-permission -&gt; 403/forbidden.</t>
        </is>
      </c>
      <c r="J21" s="16" t="inlineStr">
        <is>
          <t>/admin/budgeting/departmental-actuals</t>
        </is>
      </c>
      <c r="K21" s="16" t="inlineStr">
        <is>
          <t>BUDGETING.REPORT.VIEW</t>
        </is>
      </c>
      <c r="L21" s="16" t="inlineStr"/>
      <c r="M21" s="17" t="inlineStr">
        <is>
          <t>Not Run</t>
        </is>
      </c>
      <c r="N21" s="17" t="inlineStr"/>
      <c r="O21" s="16" t="inlineStr"/>
      <c r="P21" s="16" t="inlineStr"/>
      <c r="Q21" s="16" t="inlineStr"/>
    </row>
    <row r="22">
      <c r="A22" s="18" t="inlineStr">
        <is>
          <t>BUD-020</t>
        </is>
      </c>
      <c r="B22" s="19" t="inlineStr">
        <is>
          <t>Departmental Actuals</t>
        </is>
      </c>
      <c r="C22" s="19" t="inlineStr">
        <is>
          <t>Departmental actuals four states — empty, error, forbidden</t>
        </is>
      </c>
      <c r="D22" s="8" t="inlineStr">
        <is>
          <t>Positive</t>
        </is>
      </c>
      <c r="E22" s="8" t="inlineStr">
        <is>
          <t>Medium</t>
        </is>
      </c>
      <c r="F22" s="19" t="inlineStr">
        <is>
          <t>A FY with no actuals. A no-permission user. Logged in as ORG_ADMIN for states 1-2, then as no-permission user.</t>
        </is>
      </c>
      <c r="G22" s="19" t="inlineStr">
        <is>
          <t>1. Run for a FY with no postings — empty rows.
2. Intercept the call to return 500 — error state.
3. Log in as no-permission user — 403 — forbidden state.</t>
        </is>
      </c>
      <c r="H22" s="19" t="inlineStr">
        <is>
          <t>FY with zero actuals. 500 intercept. No-permission user.</t>
        </is>
      </c>
      <c r="I22" s="19" t="inlineStr">
        <is>
          <t>Each state distinct: empty rows (idle-empty), error message (error), forbidden message (forbidden). Loading state shown while request in flight.</t>
        </is>
      </c>
      <c r="J22" s="19" t="inlineStr">
        <is>
          <t>/admin/budgeting/departmental-actuals</t>
        </is>
      </c>
      <c r="K22" s="19" t="inlineStr">
        <is>
          <t>BUDGETING.REPORT.VIEW</t>
        </is>
      </c>
      <c r="L22" s="19" t="inlineStr"/>
      <c r="M22" s="8" t="inlineStr">
        <is>
          <t>Not Run</t>
        </is>
      </c>
      <c r="N22" s="8" t="inlineStr"/>
      <c r="O22" s="19" t="inlineStr"/>
      <c r="P22" s="19" t="inlineStr"/>
      <c r="Q22" s="19" t="inlineStr"/>
    </row>
    <row r="23">
      <c r="A23" s="15" t="inlineStr">
        <is>
          <t>BUD-021</t>
        </is>
      </c>
      <c r="B23" s="16" t="inlineStr">
        <is>
          <t>Financial Isolation</t>
        </is>
      </c>
      <c r="C23" s="16" t="inlineStr">
        <is>
          <t>No GL journal created by any budgeting action (BR-BUD-01 / D-7)</t>
        </is>
      </c>
      <c r="D23" s="17" t="inlineStr">
        <is>
          <t>Positive</t>
        </is>
      </c>
      <c r="E23" s="17" t="inlineStr">
        <is>
          <t>High</t>
        </is>
      </c>
      <c r="F23" s="16" t="inlineStr">
        <is>
          <t>A clean GL. Logged in as ORG_ADMIN.</t>
        </is>
      </c>
      <c r="G23" s="16" t="inlineStr">
        <is>
          <t>1. Create a budget.
2. Add lines.
3. Submit.
4. Approve.
5. Inspect GL journals.</t>
        </is>
      </c>
      <c r="H23" s="16" t="inlineStr">
        <is>
          <t>Full budget create -&gt; approve cycle.</t>
        </is>
      </c>
      <c r="I23" s="16" t="inlineStr">
        <is>
          <t>ZERO GL journals or entries created by any budgeting action. Budgets are plan-only. GL actuals are read only at report time. No accounting entries ever result from budget create, version create, submit, recall, approve, or reject.</t>
        </is>
      </c>
      <c r="J23" s="16" t="inlineStr">
        <is>
          <t>/admin/budgets</t>
        </is>
      </c>
      <c r="K23" s="16" t="inlineStr">
        <is>
          <t>BUDGETING.BUDGET.MANAGE</t>
        </is>
      </c>
      <c r="L23" s="16" t="inlineStr"/>
      <c r="M23" s="17" t="inlineStr">
        <is>
          <t>Not Run</t>
        </is>
      </c>
      <c r="N23" s="17" t="inlineStr"/>
      <c r="O23" s="16" t="inlineStr"/>
      <c r="P23" s="16" t="inlineStr"/>
      <c r="Q23" s="16" t="inlineStr"/>
    </row>
  </sheetData>
  <autoFilter ref="A2:Q23"/>
  <mergeCells count="1">
    <mergeCell ref="A1:Q1"/>
  </mergeCells>
  <dataValidations count="4">
    <dataValidation sqref="D3:D23" showDropDown="0" showInputMessage="0" showErrorMessage="0" allowBlank="1" type="list">
      <formula1>"Positive,Negative,Permission,Edge"</formula1>
    </dataValidation>
    <dataValidation sqref="E3:E23" showDropDown="0" showInputMessage="0" showErrorMessage="0" allowBlank="1" type="list">
      <formula1>"High,Medium,Low"</formula1>
    </dataValidation>
    <dataValidation sqref="M3:M23" showDropDown="0" showInputMessage="0" showErrorMessage="0" allowBlank="1" type="list">
      <formula1>"Not Run,Pass,Fail,Blocked,N/A"</formula1>
    </dataValidation>
    <dataValidation sqref="N3:N23" showDropDown="0" showInputMessage="0" showErrorMessage="0" allowBlank="1" type="list">
      <formula1>"-,Critical,High,Medium,Low"</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39"/>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HR &amp; Payroll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HR-001</t>
        </is>
      </c>
      <c r="B3" s="16" t="inlineStr">
        <is>
          <t>Departments</t>
        </is>
      </c>
      <c r="C3" s="16" t="inlineStr">
        <is>
          <t>List departments — loaded state, company scope, no raw uid visible</t>
        </is>
      </c>
      <c r="D3" s="17" t="inlineStr">
        <is>
          <t>Positive</t>
        </is>
      </c>
      <c r="E3" s="17" t="inlineStr">
        <is>
          <t>High</t>
        </is>
      </c>
      <c r="F3" s="16" t="inlineStr">
        <is>
          <t>User has HR.EMPLOYEE.VIEW permission. At least 1 department exists for the selected company.</t>
        </is>
      </c>
      <c r="G3" s="16" t="inlineStr">
        <is>
          <t>1. Log in as a user with HR.EMPLOYEE.VIEW.
2. Navigate to /admin/hr/departments.
3. Select the company from the company selector.
4. Wait for the table to render.</t>
        </is>
      </c>
      <c r="H3" s="16" t="inlineStr">
        <is>
          <t>Department code: HR, name: Human Resources</t>
        </is>
      </c>
      <c r="I3" s="16" t="inlineStr">
        <is>
          <t>Table lists departments with code and name. No raw uid is visible in any cell. ApiResponse envelope is unwrapped by the interceptor so the component receives List&lt;DepartmentDto&gt; directly.</t>
        </is>
      </c>
      <c r="J3" s="16" t="inlineStr">
        <is>
          <t>/admin/hr/departments</t>
        </is>
      </c>
      <c r="K3" s="16" t="inlineStr">
        <is>
          <t>HR.EMPLOYEE.VIEW</t>
        </is>
      </c>
      <c r="L3" s="16" t="inlineStr"/>
      <c r="M3" s="17" t="inlineStr">
        <is>
          <t>Not Run</t>
        </is>
      </c>
      <c r="N3" s="17" t="inlineStr"/>
      <c r="O3" s="16" t="inlineStr"/>
      <c r="P3" s="16" t="inlineStr"/>
      <c r="Q3" s="16" t="inlineStr"/>
    </row>
    <row r="4">
      <c r="A4" s="18" t="inlineStr">
        <is>
          <t>HR-002</t>
        </is>
      </c>
      <c r="B4" s="19" t="inlineStr">
        <is>
          <t>Departments</t>
        </is>
      </c>
      <c r="C4" s="19" t="inlineStr">
        <is>
          <t>Departments list — forbidden state for user without HR.EMPLOYEE.VIEW</t>
        </is>
      </c>
      <c r="D4" s="8" t="inlineStr">
        <is>
          <t>Permission</t>
        </is>
      </c>
      <c r="E4" s="8" t="inlineStr">
        <is>
          <t>High</t>
        </is>
      </c>
      <c r="F4" s="19" t="inlineStr">
        <is>
          <t>A user with NO HR permissions exists.</t>
        </is>
      </c>
      <c r="G4" s="19" t="inlineStr">
        <is>
          <t>1. Log in as the no-permission user.
2. Confirm the HR &amp; Payroll nav group or the Departments nav item is not rendered.
3. Attempt to navigate directly to /admin/hr/departments.
4. Confirm the route guard redirects or shows the forbidden state.</t>
        </is>
      </c>
      <c r="H4" s="19" t="inlineStr">
        <is>
          <t>No-permission user credentials</t>
        </is>
      </c>
      <c r="I4" s="19" t="inlineStr">
        <is>
          <t>Nav item hidden. Direct navigation blocked by route guard (requirePermission('HR.EMPLOYEE.VIEW')). HTTP GET /api/v1/hr/departments returns 403.</t>
        </is>
      </c>
      <c r="J4" s="19" t="inlineStr">
        <is>
          <t>/admin/hr/departments</t>
        </is>
      </c>
      <c r="K4" s="19" t="inlineStr">
        <is>
          <t>HR.EMPLOYEE.VIEW</t>
        </is>
      </c>
      <c r="L4" s="19" t="inlineStr"/>
      <c r="M4" s="8" t="inlineStr">
        <is>
          <t>Not Run</t>
        </is>
      </c>
      <c r="N4" s="8" t="inlineStr"/>
      <c r="O4" s="19" t="inlineStr"/>
      <c r="P4" s="19" t="inlineStr"/>
      <c r="Q4" s="19" t="inlineStr"/>
    </row>
    <row r="5">
      <c r="A5" s="15" t="inlineStr">
        <is>
          <t>HR-003</t>
        </is>
      </c>
      <c r="B5" s="16" t="inlineStr">
        <is>
          <t>Departments</t>
        </is>
      </c>
      <c r="C5" s="16" t="inlineStr">
        <is>
          <t>Create department — valid; VIEW-only user sees 403</t>
        </is>
      </c>
      <c r="D5" s="17" t="inlineStr">
        <is>
          <t>Positive</t>
        </is>
      </c>
      <c r="E5" s="17" t="inlineStr">
        <is>
          <t>High</t>
        </is>
      </c>
      <c r="F5" s="16" t="inlineStr">
        <is>
          <t>User has HR.EMPLOYEE.MANAGE. A company is selected.</t>
        </is>
      </c>
      <c r="G5" s="16" t="inlineStr">
        <is>
          <t>1. Navigate to /admin/hr/departments.
2. Click New Department.
3. Enter code FIN and name Finance.
4. Save.
5. Repeat step 2-4 logged in as a VIEW-only user and verify the create control is hidden and a direct POST returns 403.</t>
        </is>
      </c>
      <c r="H5" s="16" t="inlineStr">
        <is>
          <t>code: FIN, name: Finance</t>
        </is>
      </c>
      <c r="I5" s="16" t="inlineStr">
        <is>
          <t>201 Created. DepartmentDto returned with code FIN and name Finance. Row appears in the list. VIEW-only user: New Department button absent; direct POST returns 403.</t>
        </is>
      </c>
      <c r="J5" s="16" t="inlineStr">
        <is>
          <t>/admin/hr/departments</t>
        </is>
      </c>
      <c r="K5" s="16" t="inlineStr">
        <is>
          <t>HR.EMPLOYEE.MANAGE</t>
        </is>
      </c>
      <c r="L5" s="16" t="inlineStr"/>
      <c r="M5" s="17" t="inlineStr">
        <is>
          <t>Not Run</t>
        </is>
      </c>
      <c r="N5" s="17" t="inlineStr"/>
      <c r="O5" s="16" t="inlineStr"/>
      <c r="P5" s="16" t="inlineStr"/>
      <c r="Q5" s="16" t="inlineStr"/>
    </row>
    <row r="6">
      <c r="A6" s="18" t="inlineStr">
        <is>
          <t>HR-004</t>
        </is>
      </c>
      <c r="B6" s="19" t="inlineStr">
        <is>
          <t>Departments</t>
        </is>
      </c>
      <c r="C6" s="19" t="inlineStr">
        <is>
          <t>Deactivate department — soft-delete, unknown uid returns 404</t>
        </is>
      </c>
      <c r="D6" s="8" t="inlineStr">
        <is>
          <t>Positive</t>
        </is>
      </c>
      <c r="E6" s="8" t="inlineStr">
        <is>
          <t>Medium</t>
        </is>
      </c>
      <c r="F6" s="19" t="inlineStr">
        <is>
          <t>Department FIN created in HR-003. User has HR.EMPLOYEE.MANAGE.</t>
        </is>
      </c>
      <c r="G6" s="19" t="inlineStr">
        <is>
          <t>1. From the departments list, find the Finance department.
2. Choose Deactivate and confirm.
3. Verify the department is marked inactive (soft-delete).
4. Attempt to deactivate an unknown uid via the API and verify 404.</t>
        </is>
      </c>
      <c r="H6" s="19" t="inlineStr">
        <is>
          <t>Department Finance (code FIN)</t>
        </is>
      </c>
      <c r="I6" s="19" t="inlineStr">
        <is>
          <t>204 No Content. Department record is deactivated (status flag), not hard-deleted. Unknown uid returns 404. VIEW-only user attempting the action gets 403.</t>
        </is>
      </c>
      <c r="J6" s="19" t="inlineStr">
        <is>
          <t>/admin/hr/departments</t>
        </is>
      </c>
      <c r="K6" s="19" t="inlineStr">
        <is>
          <t>HR.EMPLOYEE.MANAGE</t>
        </is>
      </c>
      <c r="L6" s="19" t="inlineStr"/>
      <c r="M6" s="8" t="inlineStr">
        <is>
          <t>Not Run</t>
        </is>
      </c>
      <c r="N6" s="8" t="inlineStr"/>
      <c r="O6" s="19" t="inlineStr"/>
      <c r="P6" s="19" t="inlineStr"/>
      <c r="Q6" s="19" t="inlineStr"/>
    </row>
    <row r="7">
      <c r="A7" s="15" t="inlineStr">
        <is>
          <t>HR-005</t>
        </is>
      </c>
      <c r="B7" s="16" t="inlineStr">
        <is>
          <t>Employees</t>
        </is>
      </c>
      <c r="C7" s="16" t="inlineStr">
        <is>
          <t>Employees list — pagination meta correct, no uid in cells</t>
        </is>
      </c>
      <c r="D7" s="17" t="inlineStr">
        <is>
          <t>Positive</t>
        </is>
      </c>
      <c r="E7" s="17" t="inlineStr">
        <is>
          <t>High</t>
        </is>
      </c>
      <c r="F7" s="16" t="inlineStr">
        <is>
          <t>At least 21 employees exist in the company so there are at least 2 pages at size 20. User has HR.EMPLOYEE.VIEW.</t>
        </is>
      </c>
      <c r="G7" s="16" t="inlineStr">
        <is>
          <t>1. Navigate to /admin/hr/employees.
2. Observe the table renders with employee number, name, department name, and status.
3. Use the paginator controls (FIRST, PREVIOUS, page numbers, NEXT, LAST) to navigate.
4. Verify meta fields: page, size, totalElements, totalPages, hasNext.</t>
        </is>
      </c>
      <c r="H7" s="16" t="inlineStr">
        <is>
          <t>Company with 21+ employees</t>
        </is>
      </c>
      <c r="I7" s="16" t="inlineStr">
        <is>
          <t>Page 1 shows 20 rows. Paginator is visible. No raw uid in any cell. Meta totalPages &gt;= 2 and hasNext = true on page 1. Navigating pages refetches correctly.</t>
        </is>
      </c>
      <c r="J7" s="16" t="inlineStr">
        <is>
          <t>/admin/hr/employees</t>
        </is>
      </c>
      <c r="K7" s="16" t="inlineStr">
        <is>
          <t>HR.EMPLOYEE.VIEW</t>
        </is>
      </c>
      <c r="L7" s="16" t="inlineStr"/>
      <c r="M7" s="17" t="inlineStr">
        <is>
          <t>Not Run</t>
        </is>
      </c>
      <c r="N7" s="17" t="inlineStr"/>
      <c r="O7" s="16" t="inlineStr"/>
      <c r="P7" s="16" t="inlineStr"/>
      <c r="Q7" s="16" t="inlineStr"/>
    </row>
    <row r="8">
      <c r="A8" s="18" t="inlineStr">
        <is>
          <t>HR-006</t>
        </is>
      </c>
      <c r="B8" s="19" t="inlineStr">
        <is>
          <t>Employees</t>
        </is>
      </c>
      <c r="C8" s="19" t="inlineStr">
        <is>
          <t>Create employee — minimal required fields; server generates employee number</t>
        </is>
      </c>
      <c r="D8" s="8" t="inlineStr">
        <is>
          <t>Positive</t>
        </is>
      </c>
      <c r="E8" s="8" t="inlineStr">
        <is>
          <t>High</t>
        </is>
      </c>
      <c r="F8" s="19" t="inlineStr">
        <is>
          <t>User has HR.EMPLOYEE.MANAGE. At least 1 department exists.</t>
        </is>
      </c>
      <c r="G8" s="19" t="inlineStr">
        <is>
          <t>1. Navigate to /admin/hr/employees and click New Employee.
2. Fill firstName: Asha, lastName: Mussa, hireDate: 2026-01-15.
3. Pick department Finance by name (not by uid).
4. Leave all optional fields blank.
5. Save.
6. Confirm the success notification shows the employee number.</t>
        </is>
      </c>
      <c r="H8" s="19" t="inlineStr">
        <is>
          <t>firstName: Asha, lastName: Mussa, hireDate: 2026-01-15, department: Finance</t>
        </is>
      </c>
      <c r="I8" s="19" t="inlineStr">
        <is>
          <t>201 Created. EmployeeDto returned with server-generated employeeNumber (EMP-000001 format) and status ACTIVE. Row appears in list. Department shown by name, not uid.</t>
        </is>
      </c>
      <c r="J8" s="19" t="inlineStr">
        <is>
          <t>/admin/hr/employees</t>
        </is>
      </c>
      <c r="K8" s="19" t="inlineStr">
        <is>
          <t>HR.EMPLOYEE.MANAGE</t>
        </is>
      </c>
      <c r="L8" s="19" t="inlineStr"/>
      <c r="M8" s="8" t="inlineStr">
        <is>
          <t>Not Run</t>
        </is>
      </c>
      <c r="N8" s="8" t="inlineStr"/>
      <c r="O8" s="19" t="inlineStr"/>
      <c r="P8" s="19" t="inlineStr"/>
      <c r="Q8" s="19" t="inlineStr"/>
    </row>
    <row r="9">
      <c r="A9" s="15" t="inlineStr">
        <is>
          <t>HR-007</t>
        </is>
      </c>
      <c r="B9" s="16" t="inlineStr">
        <is>
          <t>Employees</t>
        </is>
      </c>
      <c r="C9" s="16" t="inlineStr">
        <is>
          <t>Create employee — blank required fields rejected client and server side</t>
        </is>
      </c>
      <c r="D9" s="17" t="inlineStr">
        <is>
          <t>Negative</t>
        </is>
      </c>
      <c r="E9" s="17" t="inlineStr">
        <is>
          <t>High</t>
        </is>
      </c>
      <c r="F9" s="16" t="inlineStr">
        <is>
          <t>User has HR.EMPLOYEE.MANAGE.</t>
        </is>
      </c>
      <c r="G9" s="16" t="inlineStr">
        <is>
          <t>1. Open the New Employee form.
2. Leave firstName blank and attempt to save.
3. Observe client-side validation message.
4. Bypass client validation and send a POST without firstName.
5. Observe server-side 400 response.</t>
        </is>
      </c>
      <c r="H9" s="16" t="inlineStr">
        <is>
          <t>firstName: empty, lastName: Mussa, hireDate: 2026-01-15</t>
        </is>
      </c>
      <c r="I9" s="16" t="inlineStr">
        <is>
          <t>Client validation shows 'First name is required.' without sending the POST. If bypassed, server returns 400 with @NotBlank error on firstName. Same for missing lastName and hireDate.</t>
        </is>
      </c>
      <c r="J9" s="16" t="inlineStr">
        <is>
          <t>/admin/hr/employees</t>
        </is>
      </c>
      <c r="K9" s="16" t="inlineStr">
        <is>
          <t>HR.EMPLOYEE.MANAGE</t>
        </is>
      </c>
      <c r="L9" s="16" t="inlineStr"/>
      <c r="M9" s="17" t="inlineStr">
        <is>
          <t>Not Run</t>
        </is>
      </c>
      <c r="N9" s="17" t="inlineStr"/>
      <c r="O9" s="16" t="inlineStr"/>
      <c r="P9" s="16" t="inlineStr"/>
      <c r="Q9" s="16" t="inlineStr"/>
    </row>
    <row r="10">
      <c r="A10" s="18" t="inlineStr">
        <is>
          <t>HR-008</t>
        </is>
      </c>
      <c r="B10" s="19" t="inlineStr">
        <is>
          <t>Employees</t>
        </is>
      </c>
      <c r="C10" s="19" t="inlineStr">
        <is>
          <t>Archive employee — ACTIVE transitions to TERMINATED; ON_LEAVE and SUSPENDED are not settable via UI</t>
        </is>
      </c>
      <c r="D10" s="8" t="inlineStr">
        <is>
          <t>Positive</t>
        </is>
      </c>
      <c r="E10" s="8" t="inlineStr">
        <is>
          <t>High</t>
        </is>
      </c>
      <c r="F10" s="19" t="inlineStr">
        <is>
          <t>An ACTIVE employee exists. User has HR.EMPLOYEE.MANAGE.</t>
        </is>
      </c>
      <c r="G10" s="19" t="inlineStr">
        <is>
          <t>1. Open the employee detail at /admin/hr/employees/uid/:uid.
2. Click Archive and confirm.
3. Verify the status badge changes to TERMINATED.
4. Confirm the employee record is retained (soft-delete).
5. Verify there is no button or endpoint accessible via the UI to set ON_LEAVE or SUSPENDED.</t>
        </is>
      </c>
      <c r="H10" s="19" t="inlineStr">
        <is>
          <t>Employee Asha Mussa (ACTIVE)</t>
        </is>
      </c>
      <c r="I10" s="19" t="inlineStr">
        <is>
          <t>204 returned. Employee status = TERMINATED. Record still exists in the database. No UI affordance to set ON_LEAVE or SUSPENDED (those enum values have no controller endpoint in this domain).</t>
        </is>
      </c>
      <c r="J10" s="19" t="inlineStr">
        <is>
          <t>/admin/hr/employees/uid/:uid</t>
        </is>
      </c>
      <c r="K10" s="19" t="inlineStr">
        <is>
          <t>HR.EMPLOYEE.MANAGE</t>
        </is>
      </c>
      <c r="L10" s="19" t="inlineStr"/>
      <c r="M10" s="8" t="inlineStr">
        <is>
          <t>Not Run</t>
        </is>
      </c>
      <c r="N10" s="8" t="inlineStr"/>
      <c r="O10" s="19" t="inlineStr"/>
      <c r="P10" s="19" t="inlineStr"/>
      <c r="Q10" s="19" t="inlineStr"/>
    </row>
    <row r="11">
      <c r="A11" s="15" t="inlineStr">
        <is>
          <t>HR-009</t>
        </is>
      </c>
      <c r="B11" s="16" t="inlineStr">
        <is>
          <t>Employees</t>
        </is>
      </c>
      <c r="C11" s="16" t="inlineStr">
        <is>
          <t>Multi-tenant isolation — tenant A cannot access tenant B employees</t>
        </is>
      </c>
      <c r="D11" s="17" t="inlineStr">
        <is>
          <t>Negative</t>
        </is>
      </c>
      <c r="E11" s="17" t="inlineStr">
        <is>
          <t>High</t>
        </is>
      </c>
      <c r="F11" s="16" t="inlineStr">
        <is>
          <t>Two companies (tenant A and tenant B) each have employees. User is an HR manager of tenant A only.</t>
        </is>
      </c>
      <c r="G11" s="16" t="inlineStr">
        <is>
          <t>1. Log in as tenant-A HR manager.
2. List employees — confirm only tenant A employees appear.
3. Attempt to fetch a tenant-B employee uid directly via GET /api/v1/hr/employees/uid/{B-uid}.
4. Attempt list with companyId of tenant B.</t>
        </is>
      </c>
      <c r="H11" s="16" t="inlineStr">
        <is>
          <t>Tenant A companyId, Tenant B employee uid</t>
        </is>
      </c>
      <c r="I11" s="16" t="inlineStr">
        <is>
          <t>Tenant B employees never appear in the list. Direct B-uid fetch returns 403 (ScopeGuard.assertCanActIn). List with tenant-B companyId returns 403.</t>
        </is>
      </c>
      <c r="J11" s="16" t="inlineStr">
        <is>
          <t>/admin/hr/employees</t>
        </is>
      </c>
      <c r="K11" s="16" t="inlineStr">
        <is>
          <t>HR.EMPLOYEE.VIEW</t>
        </is>
      </c>
      <c r="L11" s="16" t="inlineStr"/>
      <c r="M11" s="17" t="inlineStr">
        <is>
          <t>Not Run</t>
        </is>
      </c>
      <c r="N11" s="17" t="inlineStr"/>
      <c r="O11" s="16" t="inlineStr"/>
      <c r="P11" s="16" t="inlineStr"/>
      <c r="Q11" s="16" t="inlineStr"/>
    </row>
    <row r="12">
      <c r="A12" s="18" t="inlineStr">
        <is>
          <t>HR-010</t>
        </is>
      </c>
      <c r="B12" s="19" t="inlineStr">
        <is>
          <t>Contracts</t>
        </is>
      </c>
      <c r="C12" s="19" t="inlineStr">
        <is>
          <t>Create PERMANENT contract — currency forced TZS, payFrequency defaults MONTHLY</t>
        </is>
      </c>
      <c r="D12" s="8" t="inlineStr">
        <is>
          <t>Positive</t>
        </is>
      </c>
      <c r="E12" s="8" t="inlineStr">
        <is>
          <t>High</t>
        </is>
      </c>
      <c r="F12" s="19" t="inlineStr">
        <is>
          <t>Employee with no active contract. User has HR.EMPLOYEE.MANAGE.</t>
        </is>
      </c>
      <c r="G12" s="19" t="inlineStr">
        <is>
          <t>1. Navigate to /admin/hr/contracts.
2. Pick the employee by name using the uid-picker.
3. Choose contract type PERMANENT.
4. Enter baseSalary 1500000, startDate 2026-01-01.
5. Set statutory checkboxes: payeResident on, nssfMember on.
6. Save.</t>
        </is>
      </c>
      <c r="H12" s="19" t="inlineStr">
        <is>
          <t>baseSalary: 1500000, startDate: 2026-01-01, contractType: PERMANENT</t>
        </is>
      </c>
      <c r="I12" s="19" t="inlineStr">
        <is>
          <t>201 Created. ContractDto with currency TZS, payFrequency MONTHLY, active = true. Employee picker showed name not uid.</t>
        </is>
      </c>
      <c r="J12" s="19" t="inlineStr">
        <is>
          <t>/admin/hr/contracts</t>
        </is>
      </c>
      <c r="K12" s="19" t="inlineStr">
        <is>
          <t>HR.EMPLOYEE.MANAGE</t>
        </is>
      </c>
      <c r="L12" s="19" t="inlineStr"/>
      <c r="M12" s="8" t="inlineStr">
        <is>
          <t>Not Run</t>
        </is>
      </c>
      <c r="N12" s="8" t="inlineStr"/>
      <c r="O12" s="19" t="inlineStr"/>
      <c r="P12" s="19" t="inlineStr"/>
      <c r="Q12" s="19" t="inlineStr"/>
    </row>
    <row r="13">
      <c r="A13" s="15" t="inlineStr">
        <is>
          <t>HR-011</t>
        </is>
      </c>
      <c r="B13" s="16" t="inlineStr">
        <is>
          <t>Contracts</t>
        </is>
      </c>
      <c r="C13" s="16" t="inlineStr">
        <is>
          <t>Duplicate active contract rejected with 409</t>
        </is>
      </c>
      <c r="D13" s="17" t="inlineStr">
        <is>
          <t>Negative</t>
        </is>
      </c>
      <c r="E13" s="17" t="inlineStr">
        <is>
          <t>High</t>
        </is>
      </c>
      <c r="F13" s="16" t="inlineStr">
        <is>
          <t>Employee already has an active contract (HR-010). User has HR.EMPLOYEE.MANAGE.</t>
        </is>
      </c>
      <c r="G13" s="16" t="inlineStr">
        <is>
          <t>1. Attempt to create a second contract for the same employee who already has an active one.
2. Observe the error response.</t>
        </is>
      </c>
      <c r="H13" s="16" t="inlineStr">
        <is>
          <t>Same employee as HR-010</t>
        </is>
      </c>
      <c r="I13" s="16" t="inlineStr">
        <is>
          <t>409 ConflictException with message 'Employee already has an active contract.' No second contract created.</t>
        </is>
      </c>
      <c r="J13" s="16" t="inlineStr">
        <is>
          <t>/admin/hr/contracts</t>
        </is>
      </c>
      <c r="K13" s="16" t="inlineStr">
        <is>
          <t>HR.EMPLOYEE.MANAGE</t>
        </is>
      </c>
      <c r="L13" s="16" t="inlineStr"/>
      <c r="M13" s="17" t="inlineStr">
        <is>
          <t>Not Run</t>
        </is>
      </c>
      <c r="N13" s="17" t="inlineStr"/>
      <c r="O13" s="16" t="inlineStr"/>
      <c r="P13" s="16" t="inlineStr"/>
      <c r="Q13" s="16" t="inlineStr"/>
    </row>
    <row r="14">
      <c r="A14" s="18" t="inlineStr">
        <is>
          <t>HR-012</t>
        </is>
      </c>
      <c r="B14" s="19" t="inlineStr">
        <is>
          <t>Contracts</t>
        </is>
      </c>
      <c r="C14" s="19" t="inlineStr">
        <is>
          <t>Create FIXED_TERM contract with end date; CASUAL and PROBATION types</t>
        </is>
      </c>
      <c r="D14" s="8" t="inlineStr">
        <is>
          <t>Positive</t>
        </is>
      </c>
      <c r="E14" s="8" t="inlineStr">
        <is>
          <t>Medium</t>
        </is>
      </c>
      <c r="F14" s="19" t="inlineStr">
        <is>
          <t>Three employees each with no active contract. User has HR.EMPLOYEE.MANAGE.</t>
        </is>
      </c>
      <c r="G14" s="19" t="inlineStr">
        <is>
          <t>1. Create FIXED_TERM contract for employee 1 with start 2026-02-01 and end 2026-12-31, baseSalary 900000.
2. Create CASUAL contract for employee 2.
3. Create PROBATION contract for employee 3.
4. Verify each ContractDto echoes the correct contractType.</t>
        </is>
      </c>
      <c r="H14" s="19" t="inlineStr">
        <is>
          <t>FIXED_TERM: start 2026-02-01, end 2026-12-31, baseSalary 900000; CASUAL and PROBATION with respective employees</t>
        </is>
      </c>
      <c r="I14" s="19" t="inlineStr">
        <is>
          <t>All three contracts created with the correct contractType. FIXED_TERM retains the end date. Currency TZS in all cases.</t>
        </is>
      </c>
      <c r="J14" s="19" t="inlineStr">
        <is>
          <t>/admin/hr/contracts</t>
        </is>
      </c>
      <c r="K14" s="19" t="inlineStr">
        <is>
          <t>HR.EMPLOYEE.MANAGE</t>
        </is>
      </c>
      <c r="L14" s="19" t="inlineStr"/>
      <c r="M14" s="8" t="inlineStr">
        <is>
          <t>Not Run</t>
        </is>
      </c>
      <c r="N14" s="8" t="inlineStr"/>
      <c r="O14" s="19" t="inlineStr"/>
      <c r="P14" s="19" t="inlineStr"/>
      <c r="Q14" s="19" t="inlineStr"/>
    </row>
    <row r="15">
      <c r="A15" s="15" t="inlineStr">
        <is>
          <t>HR-013</t>
        </is>
      </c>
      <c r="B15" s="16" t="inlineStr">
        <is>
          <t>Contracts</t>
        </is>
      </c>
      <c r="C15" s="16" t="inlineStr">
        <is>
          <t>Terminate contract — active flag flips to false; new contract can then be created</t>
        </is>
      </c>
      <c r="D15" s="17" t="inlineStr">
        <is>
          <t>Positive</t>
        </is>
      </c>
      <c r="E15" s="17" t="inlineStr">
        <is>
          <t>High</t>
        </is>
      </c>
      <c r="F15" s="16" t="inlineStr">
        <is>
          <t>Employee with one active contract. User has HR.EMPLOYEE.MANAGE.</t>
        </is>
      </c>
      <c r="G15" s="16" t="inlineStr">
        <is>
          <t>1. From the contracts panel for the employee, click Terminate and confirm.
2. Verify 204 returned and active = false.
3. Create a new contract for the same employee — verify it succeeds (no more active-contract conflict).</t>
        </is>
      </c>
      <c r="H15" s="16" t="inlineStr">
        <is>
          <t>Employee with PERMANENT active contract</t>
        </is>
      </c>
      <c r="I15" s="16" t="inlineStr">
        <is>
          <t>204 No Content. Contract active = false (boolean toggle, no separate status enum for contracts). New contract creation subsequently succeeds with 201.</t>
        </is>
      </c>
      <c r="J15" s="16" t="inlineStr">
        <is>
          <t>/admin/hr/contracts</t>
        </is>
      </c>
      <c r="K15" s="16" t="inlineStr">
        <is>
          <t>HR.EMPLOYEE.MANAGE</t>
        </is>
      </c>
      <c r="L15" s="16" t="inlineStr"/>
      <c r="M15" s="17" t="inlineStr">
        <is>
          <t>Not Run</t>
        </is>
      </c>
      <c r="N15" s="17" t="inlineStr"/>
      <c r="O15" s="16" t="inlineStr"/>
      <c r="P15" s="16" t="inlineStr"/>
      <c r="Q15" s="16" t="inlineStr"/>
    </row>
    <row r="16">
      <c r="A16" s="18" t="inlineStr">
        <is>
          <t>HR-014</t>
        </is>
      </c>
      <c r="B16" s="19" t="inlineStr">
        <is>
          <t>Leave Requests</t>
        </is>
      </c>
      <c r="C16" s="19" t="inlineStr">
        <is>
          <t>Submit leave request — status PENDING; missing required fields rejected</t>
        </is>
      </c>
      <c r="D16" s="8" t="inlineStr">
        <is>
          <t>Positive</t>
        </is>
      </c>
      <c r="E16" s="8" t="inlineStr">
        <is>
          <t>High</t>
        </is>
      </c>
      <c r="F16" s="19" t="inlineStr">
        <is>
          <t>An employee exists. A LeaveType is seeded directly in the DB (no UI endpoint). User has HR.LEAVE.MANAGE.</t>
        </is>
      </c>
      <c r="G16" s="19" t="inlineStr">
        <is>
          <t>1. Navigate to /admin/hr/leave-requests.
2. Pick the employee by name.
3. Enter leaveTypeId (seeded Annual Leave id), fromDate 2026-03-10, toDate 2026-03-14, days 5, reason Family.
4. Submit.
5. Also try submitting with days = 0 and verify 400.</t>
        </is>
      </c>
      <c r="H16" s="19" t="inlineStr">
        <is>
          <t>leaveTypeId: seeded Annual Leave id, from: 2026-03-10, to: 2026-03-14, days: 5, reason: Family</t>
        </is>
      </c>
      <c r="I16" s="19" t="inlineStr">
        <is>
          <t>201 Created. LeaveRequestDto with status PENDING, employeeName and leaveTypeName resolved. days = 0 returns 400 (@Positive). Missing required fields (leaveTypeId, fromDate, toDate, days) each return 400.</t>
        </is>
      </c>
      <c r="J16" s="19" t="inlineStr">
        <is>
          <t>/admin/hr/leave-requests</t>
        </is>
      </c>
      <c r="K16" s="19" t="inlineStr">
        <is>
          <t>HR.LEAVE.MANAGE</t>
        </is>
      </c>
      <c r="L16" s="19" t="inlineStr"/>
      <c r="M16" s="8" t="inlineStr">
        <is>
          <t>Not Run</t>
        </is>
      </c>
      <c r="N16" s="8" t="inlineStr"/>
      <c r="O16" s="19" t="inlineStr"/>
      <c r="P16" s="19" t="inlineStr"/>
      <c r="Q16" s="19" t="inlineStr"/>
    </row>
    <row r="17">
      <c r="A17" s="15" t="inlineStr">
        <is>
          <t>HR-015</t>
        </is>
      </c>
      <c r="B17" s="16" t="inlineStr">
        <is>
          <t>Leave Requests</t>
        </is>
      </c>
      <c r="C17" s="16" t="inlineStr">
        <is>
          <t>Approve leave request — PENDING to APPROVED; MANAGE-only user denied approve</t>
        </is>
      </c>
      <c r="D17" s="17" t="inlineStr">
        <is>
          <t>Positive</t>
        </is>
      </c>
      <c r="E17" s="17" t="inlineStr">
        <is>
          <t>High</t>
        </is>
      </c>
      <c r="F17" s="16" t="inlineStr">
        <is>
          <t>A PENDING leave request exists (HR-014). Two users: one with HR.LEAVE.APPROVE, one with HR.LEAVE.MANAGE only.</t>
        </is>
      </c>
      <c r="G17" s="16" t="inlineStr">
        <is>
          <t>1. Log in as the HR.LEAVE.APPROVE user.
2. Open the leave request detail at /admin/hr/leave-requests/uid/:uid.
3. Choose Approve, enter note OK, submit.
4. Verify status = APPROVED and decidedBy/decidedAt are stamped.
5. Log in as MANAGE-only user and attempt to approve — verify 403.</t>
        </is>
      </c>
      <c r="H17" s="16" t="inlineStr">
        <is>
          <t>decision: APPROVED, decisionNote: OK</t>
        </is>
      </c>
      <c r="I17" s="16" t="inlineStr">
        <is>
          <t>Status changes to APPROVED. decidedBy and decidedAt fields populated. MANAGE-only user attempting approve returns 403.</t>
        </is>
      </c>
      <c r="J17" s="16" t="inlineStr">
        <is>
          <t>/admin/hr/leave-requests/uid/:uid</t>
        </is>
      </c>
      <c r="K17" s="16" t="inlineStr">
        <is>
          <t>HR.LEAVE.APPROVE</t>
        </is>
      </c>
      <c r="L17" s="16" t="inlineStr"/>
      <c r="M17" s="17" t="inlineStr">
        <is>
          <t>Not Run</t>
        </is>
      </c>
      <c r="N17" s="17" t="inlineStr"/>
      <c r="O17" s="16" t="inlineStr"/>
      <c r="P17" s="16" t="inlineStr"/>
      <c r="Q17" s="16" t="inlineStr"/>
    </row>
    <row r="18">
      <c r="A18" s="18" t="inlineStr">
        <is>
          <t>HR-016</t>
        </is>
      </c>
      <c r="B18" s="19" t="inlineStr">
        <is>
          <t>Leave Requests</t>
        </is>
      </c>
      <c r="C18" s="19" t="inlineStr">
        <is>
          <t>Reject leave request; illegal decision values PENDING and CANCELLED return 400</t>
        </is>
      </c>
      <c r="D18" s="8" t="inlineStr">
        <is>
          <t>Negative</t>
        </is>
      </c>
      <c r="E18" s="8" t="inlineStr">
        <is>
          <t>High</t>
        </is>
      </c>
      <c r="F18" s="19" t="inlineStr">
        <is>
          <t>A PENDING leave request exists. User has HR.LEAVE.APPROVE.</t>
        </is>
      </c>
      <c r="G18" s="19" t="inlineStr">
        <is>
          <t>1. Open the leave request detail.
2. Choose Reject with note 'Coverage gap' and submit.
3. Verify status = REJECTED.
4. Open a second PENDING request and attempt decide with decision = PENDING.
5. Attempt decide with decision = CANCELLED.</t>
        </is>
      </c>
      <c r="H18" s="19" t="inlineStr">
        <is>
          <t>decision: REJECTED, note: Coverage gap; then PENDING and CANCELLED as invalid values</t>
        </is>
      </c>
      <c r="I18" s="19" t="inlineStr">
        <is>
          <t>REJECTED decision succeeds — status REJECTED, decidedBy/At set. decision = PENDING returns 400 with 'Decision must be APPROVED or REJECTED.' decision = CANCELLED returns the same 400. Status remains PENDING in both invalid cases.</t>
        </is>
      </c>
      <c r="J18" s="19" t="inlineStr">
        <is>
          <t>/admin/hr/leave-requests/uid/:uid</t>
        </is>
      </c>
      <c r="K18" s="19" t="inlineStr">
        <is>
          <t>HR.LEAVE.APPROVE</t>
        </is>
      </c>
      <c r="L18" s="19" t="inlineStr"/>
      <c r="M18" s="8" t="inlineStr">
        <is>
          <t>Not Run</t>
        </is>
      </c>
      <c r="N18" s="8" t="inlineStr"/>
      <c r="O18" s="19" t="inlineStr"/>
      <c r="P18" s="19" t="inlineStr"/>
      <c r="Q18" s="19" t="inlineStr"/>
    </row>
    <row r="19">
      <c r="A19" s="15" t="inlineStr">
        <is>
          <t>HR-017</t>
        </is>
      </c>
      <c r="B19" s="16" t="inlineStr">
        <is>
          <t>Employee Loans</t>
        </is>
      </c>
      <c r="C19" s="16" t="inlineStr">
        <is>
          <t>Create loan — principal, installment, GL account via picker; currency defaults TZS</t>
        </is>
      </c>
      <c r="D19" s="17" t="inlineStr">
        <is>
          <t>Positive</t>
        </is>
      </c>
      <c r="E19" s="17" t="inlineStr">
        <is>
          <t>High</t>
        </is>
      </c>
      <c r="F19" s="16" t="inlineStr">
        <is>
          <t>An employee and a GL account exist. User has HR.LOAN.MANAGE.</t>
        </is>
      </c>
      <c r="G19" s="16" t="inlineStr">
        <is>
          <t>1. Navigate to /admin/hr/loans.
2. Pick the employee by name.
3. Enter principal 600000, installment 100000, startDate 2026-02-01.
4. Pick the GL account by name (not by uid).
5. Leave currency blank.
6. Save.</t>
        </is>
      </c>
      <c r="H19" s="16" t="inlineStr">
        <is>
          <t>principal: 600000, installment: 100000, startDate: 2026-02-01, currency: omitted</t>
        </is>
      </c>
      <c r="I19" s="16" t="inlineStr">
        <is>
          <t>201 Created. EmployeeLoanDto with server-generated loanNumber, outstandingAmount = 600000, currency TZS (defaulted). GL account shown by name not uid.</t>
        </is>
      </c>
      <c r="J19" s="16" t="inlineStr">
        <is>
          <t>/admin/hr/loans</t>
        </is>
      </c>
      <c r="K19" s="16" t="inlineStr">
        <is>
          <t>HR.LOAN.MANAGE</t>
        </is>
      </c>
      <c r="L19" s="16" t="inlineStr"/>
      <c r="M19" s="17" t="inlineStr">
        <is>
          <t>Not Run</t>
        </is>
      </c>
      <c r="N19" s="17" t="inlineStr"/>
      <c r="O19" s="16" t="inlineStr"/>
      <c r="P19" s="16" t="inlineStr"/>
      <c r="Q19" s="16" t="inlineStr"/>
    </row>
    <row r="20">
      <c r="A20" s="18" t="inlineStr">
        <is>
          <t>HR-018</t>
        </is>
      </c>
      <c r="B20" s="19" t="inlineStr">
        <is>
          <t>Employee Loans</t>
        </is>
      </c>
      <c r="C20" s="19" t="inlineStr">
        <is>
          <t>Approve loan — status changes to ACTIVE; no close/settle/cancel endpoint via UI</t>
        </is>
      </c>
      <c r="D20" s="8" t="inlineStr">
        <is>
          <t>Positive</t>
        </is>
      </c>
      <c r="E20" s="8" t="inlineStr">
        <is>
          <t>High</t>
        </is>
      </c>
      <c r="F20" s="19" t="inlineStr">
        <is>
          <t>A loan exists in its initial state (HR-017). User has HR.LOAN.MANAGE.</t>
        </is>
      </c>
      <c r="G20" s="19" t="inlineStr">
        <is>
          <t>1. Open the loan detail at /admin/hr/loans/uid/:uid.
2. Click Approve.
3. Verify status = ACTIVE.
4. Confirm there is no UI control to set SETTLED or CANCELLED (close is backend-only, no controller endpoint).</t>
        </is>
      </c>
      <c r="H20" s="19" t="inlineStr">
        <is>
          <t>Loan from HR-017</t>
        </is>
      </c>
      <c r="I20" s="19" t="inlineStr">
        <is>
          <t>status = ACTIVE after approve. No Settle or Cancel buttons present in the UI (those states have no controller endpoint in this domain).</t>
        </is>
      </c>
      <c r="J20" s="19" t="inlineStr">
        <is>
          <t>/admin/hr/loans/uid/:uid</t>
        </is>
      </c>
      <c r="K20" s="19" t="inlineStr">
        <is>
          <t>HR.LOAN.MANAGE</t>
        </is>
      </c>
      <c r="L20" s="19" t="inlineStr"/>
      <c r="M20" s="8" t="inlineStr">
        <is>
          <t>Not Run</t>
        </is>
      </c>
      <c r="N20" s="8" t="inlineStr"/>
      <c r="O20" s="19" t="inlineStr"/>
      <c r="P20" s="19" t="inlineStr"/>
      <c r="Q20" s="19" t="inlineStr"/>
    </row>
    <row r="21">
      <c r="A21" s="15" t="inlineStr">
        <is>
          <t>HR-019</t>
        </is>
      </c>
      <c r="B21" s="16" t="inlineStr">
        <is>
          <t>Employee Loans</t>
        </is>
      </c>
      <c r="C21" s="16" t="inlineStr">
        <is>
          <t>Loan deduction flows into payroll — installment deducted; min(installment, outstanding) rule</t>
        </is>
      </c>
      <c r="D21" s="17" t="inlineStr">
        <is>
          <t>Positive</t>
        </is>
      </c>
      <c r="E21" s="17" t="inlineStr">
        <is>
          <t>Medium</t>
        </is>
      </c>
      <c r="F21" s="16" t="inlineStr">
        <is>
          <t>ACTIVE loan with outstanding &gt; 0 for an employee with an active contract. A payroll run in DRAFT status. User has HR.LOAN.MANAGE and HR.PAYROLL.RUN.</t>
        </is>
      </c>
      <c r="G21" s="16" t="inlineStr">
        <is>
          <t>1. Confirm the loan is ACTIVE with outstanding 600000 and installment 100000.
2. Calculate the payroll run for the period.
3. Open the payroll lines tab and find the employee.
4. Verify a DEDUCTION line 'Loan Repayment: &lt;loanNumber&gt;' of 100000 exists.
5. Create a second loan where installment exceeds outstanding — verify only the remaining outstanding is deducted.</t>
        </is>
      </c>
      <c r="H21" s="16" t="inlineStr">
        <is>
          <t>Loan: outstanding 600000, installment 100000; edge: outstanding 50000, installment 100000 → deduction should be 50000</t>
        </is>
      </c>
      <c r="I21" s="16" t="inlineStr">
        <is>
          <t>Normal case: deduction = 100000. Edge case: deduction = 50000 (min applied). Net salary reduced by the deduction amount.</t>
        </is>
      </c>
      <c r="J21" s="16" t="inlineStr">
        <is>
          <t>/admin/hr/payroll-runs/uid/:uid</t>
        </is>
      </c>
      <c r="K21" s="16" t="inlineStr">
        <is>
          <t>HR.LOAN.MANAGE</t>
        </is>
      </c>
      <c r="L21" s="16" t="inlineStr"/>
      <c r="M21" s="17" t="inlineStr">
        <is>
          <t>Not Run</t>
        </is>
      </c>
      <c r="N21" s="17" t="inlineStr"/>
      <c r="O21" s="16" t="inlineStr"/>
      <c r="P21" s="16" t="inlineStr"/>
      <c r="Q21" s="16" t="inlineStr"/>
    </row>
    <row r="22">
      <c r="A22" s="18" t="inlineStr">
        <is>
          <t>HR-020</t>
        </is>
      </c>
      <c r="B22" s="19" t="inlineStr">
        <is>
          <t>Pay Components</t>
        </is>
      </c>
      <c r="C22" s="19" t="inlineStr">
        <is>
          <t>Create EARNING FIXED taxable pensionable pay component; GL account via picker</t>
        </is>
      </c>
      <c r="D22" s="8" t="inlineStr">
        <is>
          <t>Positive</t>
        </is>
      </c>
      <c r="E22" s="8" t="inlineStr">
        <is>
          <t>High</t>
        </is>
      </c>
      <c r="F22" s="19" t="inlineStr">
        <is>
          <t>A GL account exists. User has HR.PAYCOMPONENT.MANAGE.</t>
        </is>
      </c>
      <c r="G22" s="19" t="inlineStr">
        <is>
          <t>1. Navigate to /admin/hr/pay-components.
2. Click New Component.
3. Enter code HOUSING, name Housing Allowance.
4. Choose kind EARNING, basis FIXED.
5. Check taxable and pensionable.
6. Pick the GL account by name.
7. Save.</t>
        </is>
      </c>
      <c r="H22" s="19" t="inlineStr">
        <is>
          <t>code: HOUSING, name: Housing Allowance, kind: EARNING, basis: FIXED, taxable: true, pensionable: true</t>
        </is>
      </c>
      <c r="I22" s="19" t="inlineStr">
        <is>
          <t>201 Created. PayComponentDto with the chosen kind/basis/flags and active = true. Blank code or name returns 400. Null kind/basis/glAccountId returns 400.</t>
        </is>
      </c>
      <c r="J22" s="19" t="inlineStr">
        <is>
          <t>/admin/hr/pay-components</t>
        </is>
      </c>
      <c r="K22" s="19" t="inlineStr">
        <is>
          <t>HR.PAYCOMPONENT.MANAGE</t>
        </is>
      </c>
      <c r="L22" s="19" t="inlineStr"/>
      <c r="M22" s="8" t="inlineStr">
        <is>
          <t>Not Run</t>
        </is>
      </c>
      <c r="N22" s="8" t="inlineStr"/>
      <c r="O22" s="19" t="inlineStr"/>
      <c r="P22" s="19" t="inlineStr"/>
      <c r="Q22" s="19" t="inlineStr"/>
    </row>
    <row r="23">
      <c r="A23" s="15" t="inlineStr">
        <is>
          <t>HR-021</t>
        </is>
      </c>
      <c r="B23" s="16" t="inlineStr">
        <is>
          <t>Pay Components</t>
        </is>
      </c>
      <c r="C23" s="16" t="inlineStr">
        <is>
          <t>Create DEDUCTION FIXED non-taxable component; deactivate via soft-delete</t>
        </is>
      </c>
      <c r="D23" s="17" t="inlineStr">
        <is>
          <t>Positive</t>
        </is>
      </c>
      <c r="E23" s="17" t="inlineStr">
        <is>
          <t>Medium</t>
        </is>
      </c>
      <c r="F23" s="16" t="inlineStr">
        <is>
          <t>A GL account exists. User has HR.PAYCOMPONENT.MANAGE.</t>
        </is>
      </c>
      <c r="G23" s="16" t="inlineStr">
        <is>
          <t>1. Create a DEDUCTION component with code UNION, name Union Dues, basis FIXED, taxable false, pensionable false.
2. Verify 201 and kind = DEDUCTION.
3. Open the component detail.
4. Rename it, save — verify updated name.
5. Click Deactivate — verify 204 and active = false (soft-delete).</t>
        </is>
      </c>
      <c r="H23" s="16" t="inlineStr">
        <is>
          <t>code: UNION, name: Union Dues, kind: DEDUCTION, basis: FIXED</t>
        </is>
      </c>
      <c r="I23" s="16" t="inlineStr">
        <is>
          <t>201 on create. Rename persists. Deactivate returns 204 and sets active = false (record not deleted). The component should no longer appear in the active list.</t>
        </is>
      </c>
      <c r="J23" s="16" t="inlineStr">
        <is>
          <t>/admin/hr/pay-components</t>
        </is>
      </c>
      <c r="K23" s="16" t="inlineStr">
        <is>
          <t>HR.PAYCOMPONENT.MANAGE</t>
        </is>
      </c>
      <c r="L23" s="16" t="inlineStr"/>
      <c r="M23" s="17" t="inlineStr">
        <is>
          <t>Not Run</t>
        </is>
      </c>
      <c r="N23" s="17" t="inlineStr"/>
      <c r="O23" s="16" t="inlineStr"/>
      <c r="P23" s="16" t="inlineStr"/>
      <c r="Q23" s="16" t="inlineStr"/>
    </row>
    <row r="24">
      <c r="A24" s="18" t="inlineStr">
        <is>
          <t>HR-022</t>
        </is>
      </c>
      <c r="B24" s="19" t="inlineStr">
        <is>
          <t>Payroll Runs</t>
        </is>
      </c>
      <c r="C24" s="19" t="inlineStr">
        <is>
          <t>Create payroll run — DRAFT status; duplicate active run for same period rejected 409</t>
        </is>
      </c>
      <c r="D24" s="8" t="inlineStr">
        <is>
          <t>Positive</t>
        </is>
      </c>
      <c r="E24" s="8" t="inlineStr">
        <is>
          <t>High</t>
        </is>
      </c>
      <c r="F24" s="19" t="inlineStr">
        <is>
          <t>No existing active run for the period. User has HR.PAYROLL.RUN.</t>
        </is>
      </c>
      <c r="G24" s="19" t="inlineStr">
        <is>
          <t>1. Navigate to /admin/hr/payroll-runs and click New Run.
2. Enter periodMonth 6, periodYear 2026, payDate 2026-06-30.
3. Save.
4. Attempt to create a second run for the same period (periodMonth 6, periodYear 2026).</t>
        </is>
      </c>
      <c r="H24" s="19" t="inlineStr">
        <is>
          <t>periodMonth: 6, periodYear: 2026, payDate: 2026-06-30</t>
        </is>
      </c>
      <c r="I24" s="19" t="inlineStr">
        <is>
          <t>201 Created. PayrollRunDto status = DRAFT, server-generated runNumber, totals zero. Second creation attempt returns 409 ConflictException 'Active payroll run already exists for period ...'.</t>
        </is>
      </c>
      <c r="J24" s="19" t="inlineStr">
        <is>
          <t>/admin/hr/payroll-runs</t>
        </is>
      </c>
      <c r="K24" s="19" t="inlineStr">
        <is>
          <t>HR.PAYROLL.RUN</t>
        </is>
      </c>
      <c r="L24" s="19" t="inlineStr"/>
      <c r="M24" s="8" t="inlineStr">
        <is>
          <t>Not Run</t>
        </is>
      </c>
      <c r="N24" s="8" t="inlineStr"/>
      <c r="O24" s="19" t="inlineStr"/>
      <c r="P24" s="19" t="inlineStr"/>
      <c r="Q24" s="19" t="inlineStr"/>
    </row>
    <row r="25">
      <c r="A25" s="15" t="inlineStr">
        <is>
          <t>HR-023</t>
        </is>
      </c>
      <c r="B25" s="16" t="inlineStr">
        <is>
          <t>Payroll Runs</t>
        </is>
      </c>
      <c r="C25" s="16" t="inlineStr">
        <is>
          <t>Calculate payroll run — DRAFT to CALCULATED; lines generated per active employee with active contract</t>
        </is>
      </c>
      <c r="D25" s="17" t="inlineStr">
        <is>
          <t>Positive</t>
        </is>
      </c>
      <c r="E25" s="17" t="inlineStr">
        <is>
          <t>High</t>
        </is>
      </c>
      <c r="F25" s="16" t="inlineStr">
        <is>
          <t>DRAFT run exists. At least 1 ACTIVE employee with active PERMANENT contract. Statutory sets and PAYE bands seeded (HrStatutorySeeder). User has HR.PAYROLL.RUN.</t>
        </is>
      </c>
      <c r="G25" s="16" t="inlineStr">
        <is>
          <t>1. Open the payroll run detail at /admin/hr/payroll-runs/uid/:uid.
2. Click Calculate.
3. Open the Lines tab.
4. Verify each active employee with an active contract has a line.
5. Verify lines include basic salary earnings and statutory deductions (PAYE, NSSF, HESLB per contract flags).
6. Verify run totals (gross, deduction, net, employer cost) are populated.</t>
        </is>
      </c>
      <c r="H25" s="16" t="inlineStr">
        <is>
          <t>Run from HR-022, employees with PERMANENT contracts</t>
        </is>
      </c>
      <c r="I25" s="16" t="inlineStr">
        <is>
          <t>Status = CALCULATED. One line per eligible employee. Lines show earning and deduction items. Employees without an active contract are skipped. Run-level totals match the sum of lines.</t>
        </is>
      </c>
      <c r="J25" s="16" t="inlineStr">
        <is>
          <t>/admin/hr/payroll-runs/uid/:uid</t>
        </is>
      </c>
      <c r="K25" s="16" t="inlineStr">
        <is>
          <t>HR.PAYROLL.RUN</t>
        </is>
      </c>
      <c r="L25" s="16" t="inlineStr"/>
      <c r="M25" s="17" t="inlineStr">
        <is>
          <t>Not Run</t>
        </is>
      </c>
      <c r="N25" s="17" t="inlineStr"/>
      <c r="O25" s="16" t="inlineStr"/>
      <c r="P25" s="16" t="inlineStr"/>
      <c r="Q25" s="16" t="inlineStr"/>
    </row>
    <row r="26">
      <c r="A26" s="18" t="inlineStr">
        <is>
          <t>HR-024</t>
        </is>
      </c>
      <c r="B26" s="19" t="inlineStr">
        <is>
          <t>Payroll Runs</t>
        </is>
      </c>
      <c r="C26" s="19" t="inlineStr">
        <is>
          <t>Calculate from POSTED/PAID/REVERSED is rejected 409; recalculate from CALCULATED or APPROVED is allowed</t>
        </is>
      </c>
      <c r="D26" s="8" t="inlineStr">
        <is>
          <t>Negative</t>
        </is>
      </c>
      <c r="E26" s="8" t="inlineStr">
        <is>
          <t>High</t>
        </is>
      </c>
      <c r="F26" s="19" t="inlineStr">
        <is>
          <t>Runs in POSTED, PAID, REVERSED, CALCULATED, and APPROVED statuses. User has HR.PAYROLL.RUN.</t>
        </is>
      </c>
      <c r="G26" s="19" t="inlineStr">
        <is>
          <t>1. Attempt calculate on a POSTED run — expect 409.
2. Attempt calculate on a PAID run — expect 409.
3. Attempt calculate on a REVERSED run — expect 409.
4. Calculate on a CALCULATED run — expect success (idempotent rebuild, prior lines deleted).
5. Calculate on an APPROVED run — expect success.</t>
        </is>
      </c>
      <c r="H26" s="19" t="inlineStr">
        <is>
          <t>Runs in each status</t>
        </is>
      </c>
      <c r="I26" s="19" t="inlineStr">
        <is>
          <t>POSTED/PAID/REVERSED returns 409. CALCULATED and APPROVED both succeed (idempotent), resetting status to CALCULATED and rebuilding lines.</t>
        </is>
      </c>
      <c r="J26" s="19" t="inlineStr">
        <is>
          <t>/admin/hr/payroll-runs/uid/:uid</t>
        </is>
      </c>
      <c r="K26" s="19" t="inlineStr">
        <is>
          <t>HR.PAYROLL.RUN</t>
        </is>
      </c>
      <c r="L26" s="19" t="inlineStr"/>
      <c r="M26" s="8" t="inlineStr">
        <is>
          <t>Not Run</t>
        </is>
      </c>
      <c r="N26" s="8" t="inlineStr"/>
      <c r="O26" s="19" t="inlineStr"/>
      <c r="P26" s="19" t="inlineStr"/>
      <c r="Q26" s="19" t="inlineStr"/>
    </row>
    <row r="27">
      <c r="A27" s="15" t="inlineStr">
        <is>
          <t>HR-025</t>
        </is>
      </c>
      <c r="B27" s="16" t="inlineStr">
        <is>
          <t>Payroll Runs</t>
        </is>
      </c>
      <c r="C27" s="16" t="inlineStr">
        <is>
          <t>Negative-net payroll line is FLAGGED and blocks approval</t>
        </is>
      </c>
      <c r="D27" s="17" t="inlineStr">
        <is>
          <t>Negative</t>
        </is>
      </c>
      <c r="E27" s="17" t="inlineStr">
        <is>
          <t>High</t>
        </is>
      </c>
      <c r="F27" s="16" t="inlineStr">
        <is>
          <t>An employee whose total deductions exceed gross (e.g. large loan installment). CALCULATED run. User has HR.PAYROLL.RUN and HR.PAYROLL.APPROVE.</t>
        </is>
      </c>
      <c r="G27" s="16" t="inlineStr">
        <is>
          <t>1. Calculate the run.
2. Find the flagged employee line — verify PayrollLineStatus = FLAGGED and a reason containing 'Net amount negative after deductions'.
3. Attempt to approve the run.
4. Verify 409 listing the flagged employees.
5. Reduce the loan installment, recalculate, and verify the line is now OK.
6. Approve successfully.</t>
        </is>
      </c>
      <c r="H27" s="16" t="inlineStr">
        <is>
          <t>Employee with deductions &gt; gross salary</t>
        </is>
      </c>
      <c r="I27" s="16" t="inlineStr">
        <is>
          <t>Line status = FLAGGED. Approve returns 409 'Cannot approve run with FLAGGED payroll lines. Resolve: ...' listing the employee. After fixing, line = OK and approve succeeds (status = APPROVED).</t>
        </is>
      </c>
      <c r="J27" s="16" t="inlineStr">
        <is>
          <t>/admin/hr/payroll-runs/uid/:uid</t>
        </is>
      </c>
      <c r="K27" s="16" t="inlineStr">
        <is>
          <t>HR.PAYROLL.APPROVE</t>
        </is>
      </c>
      <c r="L27" s="16" t="inlineStr"/>
      <c r="M27" s="17" t="inlineStr">
        <is>
          <t>Not Run</t>
        </is>
      </c>
      <c r="N27" s="17" t="inlineStr"/>
      <c r="O27" s="16" t="inlineStr"/>
      <c r="P27" s="16" t="inlineStr"/>
      <c r="Q27" s="16" t="inlineStr"/>
    </row>
    <row r="28">
      <c r="A28" s="18" t="inlineStr">
        <is>
          <t>HR-026</t>
        </is>
      </c>
      <c r="B28" s="19" t="inlineStr">
        <is>
          <t>Payroll Runs</t>
        </is>
      </c>
      <c r="C28" s="19" t="inlineStr">
        <is>
          <t>Approve payroll run — CALCULATED to APPROVED; RUN-only user denied</t>
        </is>
      </c>
      <c r="D28" s="8" t="inlineStr">
        <is>
          <t>Positive</t>
        </is>
      </c>
      <c r="E28" s="8" t="inlineStr">
        <is>
          <t>High</t>
        </is>
      </c>
      <c r="F28" s="19" t="inlineStr">
        <is>
          <t>A CALCULATED run with no flagged lines. Two users: HR.PAYROLL.APPROVE and HR.PAYROLL.RUN only.</t>
        </is>
      </c>
      <c r="G28" s="19" t="inlineStr">
        <is>
          <t>1. Log in as HR.PAYROLL.APPROVE user.
2. Open the run detail and click Approve.
3. Verify status = APPROVED and approvedAt/approvedBy are stamped.
4. Attempt approve with the RUN-only user — verify 403.</t>
        </is>
      </c>
      <c r="H28" s="19" t="inlineStr">
        <is>
          <t>CALCULATED run from HR-023</t>
        </is>
      </c>
      <c r="I28" s="19" t="inlineStr">
        <is>
          <t>Status = APPROVED. approvedAt and approvedBy populated. RUN-only user gets 403. Approve from DRAFT returns 409.</t>
        </is>
      </c>
      <c r="J28" s="19" t="inlineStr">
        <is>
          <t>/admin/hr/payroll-runs/uid/:uid</t>
        </is>
      </c>
      <c r="K28" s="19" t="inlineStr">
        <is>
          <t>HR.PAYROLL.APPROVE</t>
        </is>
      </c>
      <c r="L28" s="19" t="inlineStr"/>
      <c r="M28" s="8" t="inlineStr">
        <is>
          <t>Not Run</t>
        </is>
      </c>
      <c r="N28" s="8" t="inlineStr"/>
      <c r="O28" s="19" t="inlineStr"/>
      <c r="P28" s="19" t="inlineStr"/>
      <c r="Q28" s="19" t="inlineStr"/>
    </row>
    <row r="29">
      <c r="A29" s="15" t="inlineStr">
        <is>
          <t>HR-027</t>
        </is>
      </c>
      <c r="B29" s="16" t="inlineStr">
        <is>
          <t>Payroll Runs</t>
        </is>
      </c>
      <c r="C29" s="16" t="inlineStr">
        <is>
          <t>Post payroll run — APPROVED to POSTED; GL posting event published; payslips generated</t>
        </is>
      </c>
      <c r="D29" s="17" t="inlineStr">
        <is>
          <t>Positive</t>
        </is>
      </c>
      <c r="E29" s="17" t="inlineStr">
        <is>
          <t>High</t>
        </is>
      </c>
      <c r="F29" s="16" t="inlineStr">
        <is>
          <t>An APPROVED payroll run. GL config keys resolvable. User has HR.PAYROLL.POST.</t>
        </is>
      </c>
      <c r="G29" s="16" t="inlineStr">
        <is>
          <t>1. Open the APPROVED run detail.
2. Click Post.
3. Verify status = POSTED and postedAt/postedBy stamped.
4. Verify the PAYROLL_FINALISED outbox event was published (visible in domain_event table).
5. Verify payslips were generated — one per payroll line (payslipNumber PAYSLIP-#####).</t>
        </is>
      </c>
      <c r="H29" s="16" t="inlineStr">
        <is>
          <t>APPROVED run from HR-026</t>
        </is>
      </c>
      <c r="I29" s="16" t="inlineStr">
        <is>
          <t>Status = POSTED. postedAt populated. PAYROLL_FINALISED outbox event row visible. Payslips created one per line with auto-generated numbers. Post from CALCULATED returns 409.</t>
        </is>
      </c>
      <c r="J29" s="16" t="inlineStr">
        <is>
          <t>/admin/hr/payroll-runs/uid/:uid</t>
        </is>
      </c>
      <c r="K29" s="16" t="inlineStr">
        <is>
          <t>HR.PAYROLL.POST</t>
        </is>
      </c>
      <c r="L29" s="16" t="inlineStr"/>
      <c r="M29" s="17" t="inlineStr">
        <is>
          <t>Not Run</t>
        </is>
      </c>
      <c r="N29" s="17" t="inlineStr"/>
      <c r="O29" s="16" t="inlineStr"/>
      <c r="P29" s="16" t="inlineStr"/>
      <c r="Q29" s="16" t="inlineStr"/>
    </row>
    <row r="30">
      <c r="A30" s="18" t="inlineStr">
        <is>
          <t>HR-028</t>
        </is>
      </c>
      <c r="B30" s="19" t="inlineStr">
        <is>
          <t>Payroll Runs</t>
        </is>
      </c>
      <c r="C30" s="19" t="inlineStr">
        <is>
          <t>Disburse payroll run — POSTED to PAID; Cash and Bank OUT entry created</t>
        </is>
      </c>
      <c r="D30" s="8" t="inlineStr">
        <is>
          <t>Positive</t>
        </is>
      </c>
      <c r="E30" s="8" t="inlineStr">
        <is>
          <t>High</t>
        </is>
      </c>
      <c r="F30" s="19" t="inlineStr">
        <is>
          <t>A POSTED run with netTotal &gt; 0. A Cash and Bank account exists. User has HR.PAYROLL.DISBURSE.</t>
        </is>
      </c>
      <c r="G30" s="19" t="inlineStr">
        <is>
          <t>1. Open the POSTED run detail.
2. Click Disburse.
3. Select the cash/bank account by name (uid-picker).
4. Leave txnDate blank (defaults to payDate).
5. Submit.
6. Verify status = PAID and paidAt stamped.
7. Verify a Cash and Bank OUT direct entry was recorded (DR NET_WAGES_PAYABLE / CR bank GL).</t>
        </is>
      </c>
      <c r="H30" s="19" t="inlineStr">
        <is>
          <t>POSTED run from HR-027; Cash and Bank account by name</t>
        </is>
      </c>
      <c r="I30" s="19" t="inlineStr">
        <is>
          <t>Status = PAID. paidAt populated. Cash and Bank OUT entry visible with memo 'Net wages disbursement for &lt;runNumber&gt;'. Disburse from non-POSTED status returns 409. netTotal &lt;= 0 returns 409. Blank cashBankAccountUid returns 400.</t>
        </is>
      </c>
      <c r="J30" s="19" t="inlineStr">
        <is>
          <t>/admin/hr/payroll-runs/uid/:uid</t>
        </is>
      </c>
      <c r="K30" s="19" t="inlineStr">
        <is>
          <t>HR.PAYROLL.DISBURSE</t>
        </is>
      </c>
      <c r="L30" s="19" t="inlineStr"/>
      <c r="M30" s="8" t="inlineStr">
        <is>
          <t>Not Run</t>
        </is>
      </c>
      <c r="N30" s="8" t="inlineStr"/>
      <c r="O30" s="19" t="inlineStr"/>
      <c r="P30" s="19" t="inlineStr"/>
      <c r="Q30" s="19" t="inlineStr"/>
    </row>
    <row r="31">
      <c r="A31" s="15" t="inlineStr">
        <is>
          <t>HR-029</t>
        </is>
      </c>
      <c r="B31" s="16" t="inlineStr">
        <is>
          <t>Payroll Runs</t>
        </is>
      </c>
      <c r="C31" s="16" t="inlineStr">
        <is>
          <t>Reverse payroll run — POSTED to REVERSED and PAID to REVERSED; PAYROLL_REVERSED event published</t>
        </is>
      </c>
      <c r="D31" s="17" t="inlineStr">
        <is>
          <t>Positive</t>
        </is>
      </c>
      <c r="E31" s="17" t="inlineStr">
        <is>
          <t>High</t>
        </is>
      </c>
      <c r="F31" s="16" t="inlineStr">
        <is>
          <t>One POSTED run and one PAID run. User has HR.PAYROLL.REVERSE.</t>
        </is>
      </c>
      <c r="G31" s="16" t="inlineStr">
        <is>
          <t>1. Open the POSTED run and click Reverse — verify status = REVERSED and reversedAt stamped.
2. Open the PAID run and click Reverse — verify status = REVERSED.
3. Verify PAYROLL_REVERSED outbox event published for each reversal.
4. Attempt to reverse an already-REVERSED run — expect 409.
5. Attempt reverse on DRAFT/CALCULATED/APPROVED — expect 409.</t>
        </is>
      </c>
      <c r="H31" s="16" t="inlineStr">
        <is>
          <t>One POSTED run (HR-027), one PAID run (HR-028)</t>
        </is>
      </c>
      <c r="I31" s="16" t="inlineStr">
        <is>
          <t>Both POSTED and PAID runs transition to REVERSED. reversedAt stamped. PAYROLL_REVERSED outbox event created. Already-REVERSED returns 409. DRAFT/CALCULATED/APPROVED returns 409 'Only POSTED or PAID payroll runs can be reversed'.</t>
        </is>
      </c>
      <c r="J31" s="16" t="inlineStr">
        <is>
          <t>/admin/hr/payroll-runs/uid/:uid</t>
        </is>
      </c>
      <c r="K31" s="16" t="inlineStr">
        <is>
          <t>HR.PAYROLL.REVERSE</t>
        </is>
      </c>
      <c r="L31" s="16" t="inlineStr"/>
      <c r="M31" s="17" t="inlineStr">
        <is>
          <t>Not Run</t>
        </is>
      </c>
      <c r="N31" s="17" t="inlineStr"/>
      <c r="O31" s="16" t="inlineStr"/>
      <c r="P31" s="16" t="inlineStr"/>
      <c r="Q31" s="16" t="inlineStr"/>
    </row>
    <row r="32">
      <c r="A32" s="18" t="inlineStr">
        <is>
          <t>HR-030</t>
        </is>
      </c>
      <c r="B32" s="19" t="inlineStr">
        <is>
          <t>Payroll Runs</t>
        </is>
      </c>
      <c r="C32" s="19" t="inlineStr">
        <is>
          <t>Payroll RBAC split — each action permission grants only its own action, all others denied</t>
        </is>
      </c>
      <c r="D32" s="8" t="inlineStr">
        <is>
          <t>Permission</t>
        </is>
      </c>
      <c r="E32" s="8" t="inlineStr">
        <is>
          <t>High</t>
        </is>
      </c>
      <c r="F32" s="19" t="inlineStr">
        <is>
          <t>Six users each holding exactly one of: HR.PAYROLL.VIEW, HR.PAYROLL.RUN, HR.PAYROLL.APPROVE, HR.PAYROLL.POST, HR.PAYROLL.DISBURSE, HR.PAYROLL.REVERSE. Runs prepared in matching statuses.</t>
        </is>
      </c>
      <c r="G32" s="19" t="inlineStr">
        <is>
          <t>1. For each single-permission user, open the run in the matching status and verify only the expected action button is visible.
2. Attempt all other actions via direct API calls and verify 403 for each.
3. Verify VIEW-only user sees the run and lines but no action buttons.</t>
        </is>
      </c>
      <c r="H32" s="19" t="inlineStr">
        <is>
          <t>Six dedicated permission users</t>
        </is>
      </c>
      <c r="I32" s="19" t="inlineStr">
        <is>
          <t>Each unauthorized action returns 403. UI hides buttons that the user lacks permission for. VIEW-only user: read-only, no action buttons rendered.</t>
        </is>
      </c>
      <c r="J32" s="19" t="inlineStr">
        <is>
          <t>/admin/hr/payroll-runs</t>
        </is>
      </c>
      <c r="K32" s="19" t="inlineStr">
        <is>
          <t>HR.PAYROLL.RUN</t>
        </is>
      </c>
      <c r="L32" s="19" t="inlineStr"/>
      <c r="M32" s="8" t="inlineStr">
        <is>
          <t>Not Run</t>
        </is>
      </c>
      <c r="N32" s="8" t="inlineStr"/>
      <c r="O32" s="19" t="inlineStr"/>
      <c r="P32" s="19" t="inlineStr"/>
      <c r="Q32" s="19" t="inlineStr"/>
    </row>
    <row r="33">
      <c r="A33" s="15" t="inlineStr">
        <is>
          <t>HR-031</t>
        </is>
      </c>
      <c r="B33" s="16" t="inlineStr">
        <is>
          <t>Statutory</t>
        </is>
      </c>
      <c r="C33" s="16" t="inlineStr">
        <is>
          <t>Create PAYE band set — multiple bands with ascending bandNo</t>
        </is>
      </c>
      <c r="D33" s="17" t="inlineStr">
        <is>
          <t>Positive</t>
        </is>
      </c>
      <c r="E33" s="17" t="inlineStr">
        <is>
          <t>High</t>
        </is>
      </c>
      <c r="F33" s="16" t="inlineStr">
        <is>
          <t>User has HR.STATUTORY.MANAGE. A company is selected.</t>
        </is>
      </c>
      <c r="G33" s="16" t="inlineStr">
        <is>
          <t>1. Navigate to /admin/hr/statutory.
2. Click New PAYE Band Set.
3. Enter effectiveFrom 2026-01-01, taxFreeThreshold 270000.
4. Add band 1: lowerBound 270000, marginalRate 0.08, cumulativeFixedTax 0.
5. Add band 2: lowerBound 520000, marginalRate 0.20, cumulativeFixedTax 20000.
6. Save.</t>
        </is>
      </c>
      <c r="H33" s="16" t="inlineStr">
        <is>
          <t>effectiveFrom: 2026-01-01, taxFreeThreshold: 270000, bands as above</t>
        </is>
      </c>
      <c r="I33" s="16" t="inlineStr">
        <is>
          <t>201 Created. PayeBandSetDto returned with the two bands, each assigned uids. Appears in the PAYE band sets list. Missing effectiveFrom or taxFreeThreshold returns 400.</t>
        </is>
      </c>
      <c r="J33" s="16" t="inlineStr">
        <is>
          <t>/admin/hr/statutory</t>
        </is>
      </c>
      <c r="K33" s="16" t="inlineStr">
        <is>
          <t>HR.STATUTORY.MANAGE</t>
        </is>
      </c>
      <c r="L33" s="16" t="inlineStr"/>
      <c r="M33" s="17" t="inlineStr">
        <is>
          <t>Not Run</t>
        </is>
      </c>
      <c r="N33" s="17" t="inlineStr"/>
      <c r="O33" s="16" t="inlineStr"/>
      <c r="P33" s="16" t="inlineStr"/>
      <c r="Q33" s="16" t="inlineStr"/>
    </row>
    <row r="34">
      <c r="A34" s="18" t="inlineStr">
        <is>
          <t>HR-032</t>
        </is>
      </c>
      <c r="B34" s="19" t="inlineStr">
        <is>
          <t>Statutory</t>
        </is>
      </c>
      <c r="C34" s="19" t="inlineStr">
        <is>
          <t>Create statutory rate sets for NSSF, WCF, SDL, and HESLB</t>
        </is>
      </c>
      <c r="D34" s="8" t="inlineStr">
        <is>
          <t>Positive</t>
        </is>
      </c>
      <c r="E34" s="8" t="inlineStr">
        <is>
          <t>High</t>
        </is>
      </c>
      <c r="F34" s="19" t="inlineStr">
        <is>
          <t>User has HR.STATUTORY.MANAGE.</t>
        </is>
      </c>
      <c r="G34" s="19" t="inlineStr">
        <is>
          <t>1. Create NSSF rate set: rateType NSSF, effectiveFrom 2026-01-01, employeeRate 0.10, employerRate 0.10, basis GROSS.
2. Create WCF: rateType WCF, employerRate 0.005, basis GROSS.
3. Create SDL: rateType SDL, employerRate 0.035, headcountThreshold 10, basis GROSS.
4. Create HESLB: rateType HESLB, employeeRate 0.15, basis BASIC.
5. Verify each appears in the rate sets list with the correct type and rates.</t>
        </is>
      </c>
      <c r="H34" s="19" t="inlineStr">
        <is>
          <t>NSSF, WCF, SDL, HESLB rate sets as described</t>
        </is>
      </c>
      <c r="I34" s="19" t="inlineStr">
        <is>
          <t>Four 201 Created responses. Each StatutoryRateSetDto carries the correct rateType, rates, basis, and active = true. SDL retains headcountThreshold 10. Missing rateType or effectiveFrom returns 400.</t>
        </is>
      </c>
      <c r="J34" s="19" t="inlineStr">
        <is>
          <t>/admin/hr/statutory</t>
        </is>
      </c>
      <c r="K34" s="19" t="inlineStr">
        <is>
          <t>HR.STATUTORY.MANAGE</t>
        </is>
      </c>
      <c r="L34" s="19" t="inlineStr"/>
      <c r="M34" s="8" t="inlineStr">
        <is>
          <t>Not Run</t>
        </is>
      </c>
      <c r="N34" s="8" t="inlineStr"/>
      <c r="O34" s="19" t="inlineStr"/>
      <c r="P34" s="19" t="inlineStr"/>
      <c r="Q34" s="19" t="inlineStr"/>
    </row>
    <row r="35">
      <c r="A35" s="15" t="inlineStr">
        <is>
          <t>HR-033</t>
        </is>
      </c>
      <c r="B35" s="16" t="inlineStr">
        <is>
          <t>Statutory</t>
        </is>
      </c>
      <c r="C35" s="16" t="inlineStr">
        <is>
          <t>Statutory rate sets drive payroll calculation — contract flags gate which apply</t>
        </is>
      </c>
      <c r="D35" s="17" t="inlineStr">
        <is>
          <t>Positive</t>
        </is>
      </c>
      <c r="E35" s="17" t="inlineStr">
        <is>
          <t>Medium</t>
        </is>
      </c>
      <c r="F35" s="16" t="inlineStr">
        <is>
          <t>Active PAYE band set and NSSF/WCF/SDL/HESLB rate sets effective on the run payDate. Employee A has nssfMember=true, payeResident=true. Employee B has nssfMember=false, payeResident=false.</t>
        </is>
      </c>
      <c r="G35" s="16" t="inlineStr">
        <is>
          <t>1. Calculate the payroll run.
2. For employee A: verify PAYE, NSSF, and applicable levies appear as deduction/employer-cost lines.
3. For employee B: verify NSSF line is zero/absent and PAYE is zero/absent based on flags.
4. Verify the statutory snapshot uid is captured on each line (reproducibility).</t>
        </is>
      </c>
      <c r="H35" s="16" t="inlineStr">
        <is>
          <t>Two employees with different statutory flag combinations</t>
        </is>
      </c>
      <c r="I35" s="16" t="inlineStr">
        <is>
          <t>Employee A has PAYE computed per the PAYE band, NSSF at 10% employee + 10% employer. Employee B's NSSF and PAYE are zero because nssfMember=false/payeResident=false. Statutory snapshot uid present on each line.</t>
        </is>
      </c>
      <c r="J35" s="16" t="inlineStr">
        <is>
          <t>/admin/hr/payroll-runs/uid/:uid</t>
        </is>
      </c>
      <c r="K35" s="16" t="inlineStr">
        <is>
          <t>HR.PAYROLL.RUN</t>
        </is>
      </c>
      <c r="L35" s="16" t="inlineStr"/>
      <c r="M35" s="17" t="inlineStr">
        <is>
          <t>Not Run</t>
        </is>
      </c>
      <c r="N35" s="17" t="inlineStr"/>
      <c r="O35" s="16" t="inlineStr"/>
      <c r="P35" s="16" t="inlineStr"/>
      <c r="Q35" s="16" t="inlineStr"/>
    </row>
    <row r="36">
      <c r="A36" s="18" t="inlineStr">
        <is>
          <t>HR-034</t>
        </is>
      </c>
      <c r="B36" s="19" t="inlineStr">
        <is>
          <t>Statutory</t>
        </is>
      </c>
      <c r="C36" s="19" t="inlineStr">
        <is>
          <t>Statutory RBAC — user without HR.STATUTORY.MANAGE is denied</t>
        </is>
      </c>
      <c r="D36" s="8" t="inlineStr">
        <is>
          <t>Permission</t>
        </is>
      </c>
      <c r="E36" s="8" t="inlineStr">
        <is>
          <t>Medium</t>
        </is>
      </c>
      <c r="F36" s="19" t="inlineStr">
        <is>
          <t>A user with only HR.EMPLOYEE.VIEW (no HR.STATUTORY.MANAGE).</t>
        </is>
      </c>
      <c r="G36" s="19" t="inlineStr">
        <is>
          <t>1. Log in as the restricted user.
2. Confirm the Statutory Setup nav item is hidden.
3. Attempt to navigate directly to /admin/hr/statutory.
4. Attempt POST /api/v1/hr/statutory/paye-bands with the user's token.</t>
        </is>
      </c>
      <c r="H36" s="19" t="inlineStr">
        <is>
          <t>User with HR.EMPLOYEE.VIEW only</t>
        </is>
      </c>
      <c r="I36" s="19" t="inlineStr">
        <is>
          <t>Nav item hidden. Route guard blocks navigation. POST to the API returns 403.</t>
        </is>
      </c>
      <c r="J36" s="19" t="inlineStr">
        <is>
          <t>/admin/hr/statutory</t>
        </is>
      </c>
      <c r="K36" s="19" t="inlineStr">
        <is>
          <t>HR.STATUTORY.MANAGE</t>
        </is>
      </c>
      <c r="L36" s="19" t="inlineStr"/>
      <c r="M36" s="8" t="inlineStr">
        <is>
          <t>Not Run</t>
        </is>
      </c>
      <c r="N36" s="8" t="inlineStr"/>
      <c r="O36" s="19" t="inlineStr"/>
      <c r="P36" s="19" t="inlineStr"/>
      <c r="Q36" s="19" t="inlineStr"/>
    </row>
    <row r="37">
      <c r="A37" s="15" t="inlineStr">
        <is>
          <t>HR-035</t>
        </is>
      </c>
      <c r="B37" s="16" t="inlineStr">
        <is>
          <t>Cross-cutting</t>
        </is>
      </c>
      <c r="C37" s="16" t="inlineStr">
        <is>
          <t>HR nav visibility — correct items shown per permission subset</t>
        </is>
      </c>
      <c r="D37" s="17" t="inlineStr">
        <is>
          <t>Permission</t>
        </is>
      </c>
      <c r="E37" s="17" t="inlineStr">
        <is>
          <t>High</t>
        </is>
      </c>
      <c r="F37" s="16" t="inlineStr">
        <is>
          <t>Three users: (a) no permissions, (b) HR.EMPLOYEE.VIEW only, (c) full HR permission set.</t>
        </is>
      </c>
      <c r="G37" s="16" t="inlineStr">
        <is>
          <t>1. Log in as user (a) — verify the HR &amp; Payroll nav group is entirely hidden.
2. Log in as user (b) with HR.EMPLOYEE.VIEW — verify only Employees, Departments, and Employee Contracts are visible; Pay Components, Payroll Runs, Leave, Loans, Statutory Setup are hidden.
3. Log in as user (c) with all HR permissions — verify all eight nav items are visible.</t>
        </is>
      </c>
      <c r="H37" s="16" t="inlineStr">
        <is>
          <t>Three users with the described permission sets</t>
        </is>
      </c>
      <c r="I37" s="16" t="inlineStr">
        <is>
          <t>(a) No HR group visible. (b) Only VIEW-gated items visible (Employees, Departments, Contracts). (c) All eight items visible. Direct route to a hidden item triggers the route guard forbidden state.</t>
        </is>
      </c>
      <c r="J37" s="16" t="inlineStr">
        <is>
          <t>/admin/hr/*</t>
        </is>
      </c>
      <c r="K37" s="16" t="inlineStr">
        <is>
          <t>HR.EMPLOYEE.VIEW</t>
        </is>
      </c>
      <c r="L37" s="16" t="inlineStr"/>
      <c r="M37" s="17" t="inlineStr">
        <is>
          <t>Not Run</t>
        </is>
      </c>
      <c r="N37" s="17" t="inlineStr"/>
      <c r="O37" s="16" t="inlineStr"/>
      <c r="P37" s="16" t="inlineStr"/>
      <c r="Q37" s="16" t="inlineStr"/>
    </row>
    <row r="38">
      <c r="A38" s="18" t="inlineStr">
        <is>
          <t>HR-036</t>
        </is>
      </c>
      <c r="B38" s="19" t="inlineStr">
        <is>
          <t>Cross-cutting</t>
        </is>
      </c>
      <c r="C38" s="19" t="inlineStr">
        <is>
          <t>Branch scoping — acting in an unassigned branch is denied for all HR endpoints</t>
        </is>
      </c>
      <c r="D38" s="8" t="inlineStr">
        <is>
          <t>Negative</t>
        </is>
      </c>
      <c r="E38" s="8" t="inlineStr">
        <is>
          <t>High</t>
        </is>
      </c>
      <c r="F38" s="19" t="inlineStr">
        <is>
          <t>Multi-branch company. User assigned to branch B1 only (HR permissions granted).</t>
        </is>
      </c>
      <c r="G38" s="19" t="inlineStr">
        <is>
          <t>1. Set active branch to B1 (X-Branch-Uid header) and list employees — succeeds.
2. Switch active branch to B2 (not assigned) and attempt GET /api/v1/hr/employees.
3. Verify 403 returned by ScopeGuard.assertCanActIn.</t>
        </is>
      </c>
      <c r="H38" s="19" t="inlineStr">
        <is>
          <t>Branch B1 (assigned), Branch B2 (unassigned)</t>
        </is>
      </c>
      <c r="I38" s="19" t="inlineStr">
        <is>
          <t>Acting in B1 succeeds. Acting in B2 returns 403. A user assigned to ALL branches succeeds in any branch.</t>
        </is>
      </c>
      <c r="J38" s="19" t="inlineStr">
        <is>
          <t>/admin/hr/employees</t>
        </is>
      </c>
      <c r="K38" s="19" t="inlineStr">
        <is>
          <t>HR.EMPLOYEE.VIEW</t>
        </is>
      </c>
      <c r="L38" s="19" t="inlineStr"/>
      <c r="M38" s="8" t="inlineStr">
        <is>
          <t>Not Run</t>
        </is>
      </c>
      <c r="N38" s="8" t="inlineStr"/>
      <c r="O38" s="19" t="inlineStr"/>
      <c r="P38" s="19" t="inlineStr"/>
      <c r="Q38" s="19" t="inlineStr"/>
    </row>
    <row r="39">
      <c r="A39" s="15" t="inlineStr">
        <is>
          <t>HR-037</t>
        </is>
      </c>
      <c r="B39" s="16" t="inlineStr">
        <is>
          <t>Cross-cutting</t>
        </is>
      </c>
      <c r="C39" s="16" t="inlineStr">
        <is>
          <t>Money and date formatting across all HR screens</t>
        </is>
      </c>
      <c r="D39" s="17" t="inlineStr">
        <is>
          <t>Positive</t>
        </is>
      </c>
      <c r="E39" s="17" t="inlineStr">
        <is>
          <t>Medium</t>
        </is>
      </c>
      <c r="F39" s="16" t="inlineStr">
        <is>
          <t>HR data seeded: contract with baseSalary, loan amounts, payroll totals, leave dates, pay dates.</t>
        </is>
      </c>
      <c r="G39" s="16" t="inlineStr">
        <is>
          <t>1. Navigate through contracts, loans, payroll runs, leave requests, and statutory screens.
2. Inspect contract base salary display.
3. Inspect loan principal, installment, and outstanding amount display.
4. Inspect payroll run totals and net amounts on the lines tab.
5. Inspect all date fields (hireDate, startDate, fromDate, toDate, payDate).</t>
        </is>
      </c>
      <c r="H39" s="16" t="inlineStr">
        <is>
          <t>baseSalary 1500000, loan principal 600000, payDate 2026-06-30</t>
        </is>
      </c>
      <c r="I39" s="16" t="inlineStr">
        <is>
          <t>All money rendered as 'TZS 1,500,000.00' format (currency string prefix, two decimal places). Dates rendered in ISO yyyy-MM-dd format. Flagged lines with negative net still format the amount correctly.</t>
        </is>
      </c>
      <c r="J39" s="16" t="inlineStr">
        <is>
          <t>/admin/hr/*</t>
        </is>
      </c>
      <c r="K39" s="16" t="inlineStr">
        <is>
          <t>HR.EMPLOYEE.VIEW</t>
        </is>
      </c>
      <c r="L39" s="16" t="inlineStr"/>
      <c r="M39" s="17" t="inlineStr">
        <is>
          <t>Not Run</t>
        </is>
      </c>
      <c r="N39" s="17" t="inlineStr"/>
      <c r="O39" s="16" t="inlineStr"/>
      <c r="P39" s="16" t="inlineStr"/>
      <c r="Q39" s="16" t="inlineStr"/>
    </row>
  </sheetData>
  <autoFilter ref="A2:Q39"/>
  <mergeCells count="1">
    <mergeCell ref="A1:Q1"/>
  </mergeCells>
  <dataValidations count="4">
    <dataValidation sqref="D3:D39" showDropDown="0" showInputMessage="0" showErrorMessage="0" allowBlank="1" type="list">
      <formula1>"Positive,Negative,Permission,Edge"</formula1>
    </dataValidation>
    <dataValidation sqref="E3:E39" showDropDown="0" showInputMessage="0" showErrorMessage="0" allowBlank="1" type="list">
      <formula1>"High,Medium,Low"</formula1>
    </dataValidation>
    <dataValidation sqref="M3:M39" showDropDown="0" showInputMessage="0" showErrorMessage="0" allowBlank="1" type="list">
      <formula1>"Not Run,Pass,Fail,Blocked,N/A"</formula1>
    </dataValidation>
    <dataValidation sqref="N3:N39" showDropDown="0" showInputMessage="0" showErrorMessage="0" allowBlank="1" type="list">
      <formula1>"-,Critical,High,Medium,Low"</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32"/>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CRM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CRM-001</t>
        </is>
      </c>
      <c r="B3" s="16" t="inlineStr">
        <is>
          <t>Leads</t>
        </is>
      </c>
      <c r="C3" s="16" t="inlineStr">
        <is>
          <t>Lead list — pagination, company scope, four states, no raw uid in cells</t>
        </is>
      </c>
      <c r="D3" s="17" t="inlineStr">
        <is>
          <t>Positive</t>
        </is>
      </c>
      <c r="E3" s="17" t="inlineStr">
        <is>
          <t>High</t>
        </is>
      </c>
      <c r="F3" s="16" t="inlineStr">
        <is>
          <t>At least 21 leads in the company to force 2 pages. User has CRM.LEAD.VIEW.</t>
        </is>
      </c>
      <c r="G3" s="16" t="inlineStr">
        <is>
          <t>1. Log in as ORG_ADMIN and navigate to /admin/crm/leads.
2. Confirm the company auto-selects and the list loads.
3. Observe the loading state transitioning to idle with rows showing leadNumber, displayName, status badge, source.
4. Use paginator controls: NEXT, page 2, PREVIOUS, FIRST, LAST.
5. Log in as NO-PERMISSION user, confirm CRM &gt; Leads nav item is absent, and direct route is blocked.</t>
        </is>
      </c>
      <c r="H3" s="16" t="inlineStr">
        <is>
          <t>Company with 21+ leads</t>
        </is>
      </c>
      <c r="I3" s="16" t="inlineStr">
        <is>
          <t>Table shows lead rows. Meta: page=1, size=20, totalElements=21, totalPages=2, hasNext=true. Paginator visible. No raw uid in any cell. NO-PERMISSION user: nav hidden, route forbidden, API 403.</t>
        </is>
      </c>
      <c r="J3" s="16" t="inlineStr">
        <is>
          <t>/admin/crm/leads</t>
        </is>
      </c>
      <c r="K3" s="16" t="inlineStr">
        <is>
          <t>CRM.LEAD.VIEW</t>
        </is>
      </c>
      <c r="L3" s="16" t="inlineStr"/>
      <c r="M3" s="17" t="inlineStr">
        <is>
          <t>Not Run</t>
        </is>
      </c>
      <c r="N3" s="17" t="inlineStr"/>
      <c r="O3" s="16" t="inlineStr"/>
      <c r="P3" s="16" t="inlineStr"/>
      <c r="Q3" s="16" t="inlineStr"/>
    </row>
    <row r="4">
      <c r="A4" s="18" t="inlineStr">
        <is>
          <t>CRM-002</t>
        </is>
      </c>
      <c r="B4" s="19" t="inlineStr">
        <is>
          <t>Leads</t>
        </is>
      </c>
      <c r="C4" s="19" t="inlineStr">
        <is>
          <t>Create lead — all LeadSource values; MANAGE permission required</t>
        </is>
      </c>
      <c r="D4" s="8" t="inlineStr">
        <is>
          <t>Positive</t>
        </is>
      </c>
      <c r="E4" s="8" t="inlineStr">
        <is>
          <t>High</t>
        </is>
      </c>
      <c r="F4" s="19" t="inlineStr">
        <is>
          <t>At least one company exists. User has CRM.LEAD.MANAGE. A VIEW-only user also available.</t>
        </is>
      </c>
      <c r="G4" s="19" t="inlineStr">
        <is>
          <t>1. Navigate to /admin/crm/leads and click New Lead.
2. Fill displayName 'Acme Trading', leadSource REFERRAL, phone '+255700000001', email 'buyer@acme.test'.
3. Submit and verify 201 with leadNumber LEAD-0001 and status NEW.
4. Repeat for each remaining LeadSource: WEBSITE, WALK_IN, CAMPAIGN, COLD_CALL, EXISTING_CUSTOMER, OTHER.
5. Log in as VIEW-only user and verify New Lead button is hidden; direct POST returns 403.</t>
        </is>
      </c>
      <c r="H4" s="19" t="inlineStr">
        <is>
          <t>displayName: Acme Trading, leadSource: REFERRAL (and all other LeadSource values)</t>
        </is>
      </c>
      <c r="I4" s="19" t="inlineStr">
        <is>
          <t>201 for each. leadNumber generated in LEAD-#### format. status = NEW. branchId stamped from active-branch context. VIEW-only user: button hidden, 403 on direct POST.</t>
        </is>
      </c>
      <c r="J4" s="19" t="inlineStr">
        <is>
          <t>/admin/crm/leads</t>
        </is>
      </c>
      <c r="K4" s="19" t="inlineStr">
        <is>
          <t>CRM.LEAD.MANAGE</t>
        </is>
      </c>
      <c r="L4" s="19" t="inlineStr"/>
      <c r="M4" s="8" t="inlineStr">
        <is>
          <t>Not Run</t>
        </is>
      </c>
      <c r="N4" s="8" t="inlineStr"/>
      <c r="O4" s="19" t="inlineStr"/>
      <c r="P4" s="19" t="inlineStr"/>
      <c r="Q4" s="19" t="inlineStr"/>
    </row>
    <row r="5">
      <c r="A5" s="15" t="inlineStr">
        <is>
          <t>CRM-003</t>
        </is>
      </c>
      <c r="B5" s="16" t="inlineStr">
        <is>
          <t>Leads</t>
        </is>
      </c>
      <c r="C5" s="16" t="inlineStr">
        <is>
          <t>Lead lifecycle — NEW to CONTACTED; contact action rejected on non-NEW leads</t>
        </is>
      </c>
      <c r="D5" s="17" t="inlineStr">
        <is>
          <t>Positive</t>
        </is>
      </c>
      <c r="E5" s="17" t="inlineStr">
        <is>
          <t>High</t>
        </is>
      </c>
      <c r="F5" s="16" t="inlineStr">
        <is>
          <t>A NEW lead. User has CRM.LEAD.MANAGE.</t>
        </is>
      </c>
      <c r="G5" s="16" t="inlineStr">
        <is>
          <t>1. Open the lead at /admin/crm/leads/uid/:uid.
2. Click 'Mark as contacted'.
3. Verify status = CONTACTED and the button is now hidden/disabled.
4. Attempt to contact the already-CONTACTED lead via direct API call.</t>
        </is>
      </c>
      <c r="H5" s="16" t="inlineStr">
        <is>
          <t>Lead in NEW status</t>
        </is>
      </c>
      <c r="I5" s="16" t="inlineStr">
        <is>
          <t>Status = CONTACTED. canContact = false after transition so button hidden. Direct API on CONTACTED lead returns error 'Only NEW leads can move to CONTACTED'.</t>
        </is>
      </c>
      <c r="J5" s="16" t="inlineStr">
        <is>
          <t>/admin/crm/leads/uid/:uid</t>
        </is>
      </c>
      <c r="K5" s="16" t="inlineStr">
        <is>
          <t>CRM.LEAD.MANAGE</t>
        </is>
      </c>
      <c r="L5" s="16" t="inlineStr"/>
      <c r="M5" s="17" t="inlineStr">
        <is>
          <t>Not Run</t>
        </is>
      </c>
      <c r="N5" s="17" t="inlineStr"/>
      <c r="O5" s="16" t="inlineStr"/>
      <c r="P5" s="16" t="inlineStr"/>
      <c r="Q5" s="16" t="inlineStr"/>
    </row>
    <row r="6">
      <c r="A6" s="18" t="inlineStr">
        <is>
          <t>CRM-004</t>
        </is>
      </c>
      <c r="B6" s="19" t="inlineStr">
        <is>
          <t>Leads</t>
        </is>
      </c>
      <c r="C6" s="19" t="inlineStr">
        <is>
          <t>Qualify lead by linking existing customer — status QUALIFIED; QUALIFY permission required</t>
        </is>
      </c>
      <c r="D6" s="8" t="inlineStr">
        <is>
          <t>Positive</t>
        </is>
      </c>
      <c r="E6" s="8" t="inlineStr">
        <is>
          <t>High</t>
        </is>
      </c>
      <c r="F6" s="19" t="inlineStr">
        <is>
          <t>A NEW or CONTACTED lead. An existing Parties customer in the same company. User has CRM.LEAD.QUALIFY. A second user has MANAGE but not QUALIFY.</t>
        </is>
      </c>
      <c r="G6" s="19" t="inlineStr">
        <is>
          <t>1. Open the lead detail.
2. Open the Qualify form and choose 'Link existing customer'.
3. Select the customer 'Zanaco Ltd' by name from the picker (not by uid).
4. Submit.
5. Verify status = QUALIFIED, customerUid set, qualifiedAt stamped.
6. Log in as MANAGE-only user and attempt qualify — verify 403.</t>
        </is>
      </c>
      <c r="H6" s="19" t="inlineStr">
        <is>
          <t>Existing customer: Zanaco Ltd</t>
        </is>
      </c>
      <c r="I6" s="19" t="inlineStr">
        <is>
          <t>Status = QUALIFIED. customerUid and qualifiedAt populated. Badge text-bg-primary. MANAGE-only user gets 403. Customer from another tenant returns ScopeGuard 403.</t>
        </is>
      </c>
      <c r="J6" s="19" t="inlineStr">
        <is>
          <t>/admin/crm/leads/uid/:uid</t>
        </is>
      </c>
      <c r="K6" s="19" t="inlineStr">
        <is>
          <t>CRM.LEAD.QUALIFY</t>
        </is>
      </c>
      <c r="L6" s="19" t="inlineStr"/>
      <c r="M6" s="8" t="inlineStr">
        <is>
          <t>Not Run</t>
        </is>
      </c>
      <c r="N6" s="8" t="inlineStr"/>
      <c r="O6" s="19" t="inlineStr"/>
      <c r="P6" s="19" t="inlineStr"/>
      <c r="Q6" s="19" t="inlineStr"/>
    </row>
    <row r="7">
      <c r="A7" s="15" t="inlineStr">
        <is>
          <t>CRM-005</t>
        </is>
      </c>
      <c r="B7" s="16" t="inlineStr">
        <is>
          <t>Leads</t>
        </is>
      </c>
      <c r="C7" s="16" t="inlineStr">
        <is>
          <t>Qualify lead by promoting new customer — CREDIT_ACCOUNT and CASH_WALK_IN kinds</t>
        </is>
      </c>
      <c r="D7" s="17" t="inlineStr">
        <is>
          <t>Positive</t>
        </is>
      </c>
      <c r="E7" s="17" t="inlineStr">
        <is>
          <t>High</t>
        </is>
      </c>
      <c r="F7" s="16" t="inlineStr">
        <is>
          <t>A NEW or CONTACTED lead. User has CRM.LEAD.QUALIFY.</t>
        </is>
      </c>
      <c r="G7" s="16" t="inlineStr">
        <is>
          <t>1. Open the Qualify form; choose 'Create new customer'.
2. Enter customer name 'Mlimani Hardware', customerKind CREDIT_ACCOUNT, phone '+255700000099'.
3. Submit and verify a new Parties customer was created and the lead is QUALIFIED.
4. Repeat with customerKind CASH_WALK_IN on a different lead.</t>
        </is>
      </c>
      <c r="H7" s="16" t="inlineStr">
        <is>
          <t>name: Mlimani Hardware, kind: CREDIT_ACCOUNT; second pass with CASH_WALK_IN</t>
        </is>
      </c>
      <c r="I7" s="16" t="inlineStr">
        <is>
          <t>A new Parties customer created by CustomerService. Lead status = QUALIFIED linked to the new customer. qualifiedAt stamped. Blank customer name returns 400 on client validation.</t>
        </is>
      </c>
      <c r="J7" s="16" t="inlineStr">
        <is>
          <t>/admin/crm/leads/uid/:uid</t>
        </is>
      </c>
      <c r="K7" s="16" t="inlineStr">
        <is>
          <t>CRM.LEAD.QUALIFY</t>
        </is>
      </c>
      <c r="L7" s="16" t="inlineStr"/>
      <c r="M7" s="17" t="inlineStr">
        <is>
          <t>Not Run</t>
        </is>
      </c>
      <c r="N7" s="17" t="inlineStr"/>
      <c r="O7" s="16" t="inlineStr"/>
      <c r="P7" s="16" t="inlineStr"/>
      <c r="Q7" s="16" t="inlineStr"/>
    </row>
    <row r="8">
      <c r="A8" s="18" t="inlineStr">
        <is>
          <t>CRM-006</t>
        </is>
      </c>
      <c r="B8" s="19" t="inlineStr">
        <is>
          <t>Leads</t>
        </is>
      </c>
      <c r="C8" s="19" t="inlineStr">
        <is>
          <t>Disqualify lead — reason required; terminal leads cannot be re-disqualified</t>
        </is>
      </c>
      <c r="D8" s="8" t="inlineStr">
        <is>
          <t>Positive</t>
        </is>
      </c>
      <c r="E8" s="8" t="inlineStr">
        <is>
          <t>High</t>
        </is>
      </c>
      <c r="F8" s="19" t="inlineStr">
        <is>
          <t>A non-terminal lead (NEW, CONTACTED, or QUALIFIED). User has CRM.LEAD.MANAGE.</t>
        </is>
      </c>
      <c r="G8" s="19" t="inlineStr">
        <is>
          <t>1. Open the lead detail.
2. Open Disqualify form, enter reason 'Budget too low', submit.
3. Verify status = DISQUALIFIED, disqualifyReason and disqualifiedAt set.
4. Attempt to disqualify an already-DISQUALIFIED lead — expect error.
5. Attempt with a blank reason — expect client validation.</t>
        </is>
      </c>
      <c r="H8" s="19" t="inlineStr">
        <is>
          <t>reason: Budget too low</t>
        </is>
      </c>
      <c r="I8" s="19" t="inlineStr">
        <is>
          <t>Status = DISQUALIFIED. disqualifyReason and disqualifiedAt populated. Blank reason: client 'Reason is required.' + server 400 @NotBlank. Disqualifying a terminal lead returns 'Cannot disqualify a terminal lead'.</t>
        </is>
      </c>
      <c r="J8" s="19" t="inlineStr">
        <is>
          <t>/admin/crm/leads/uid/:uid</t>
        </is>
      </c>
      <c r="K8" s="19" t="inlineStr">
        <is>
          <t>CRM.LEAD.MANAGE</t>
        </is>
      </c>
      <c r="L8" s="19" t="inlineStr"/>
      <c r="M8" s="8" t="inlineStr">
        <is>
          <t>Not Run</t>
        </is>
      </c>
      <c r="N8" s="8" t="inlineStr"/>
      <c r="O8" s="19" t="inlineStr"/>
      <c r="P8" s="19" t="inlineStr"/>
      <c r="Q8" s="19" t="inlineStr"/>
    </row>
    <row r="9">
      <c r="A9" s="15" t="inlineStr">
        <is>
          <t>CRM-007</t>
        </is>
      </c>
      <c r="B9" s="16" t="inlineStr">
        <is>
          <t>Leads</t>
        </is>
      </c>
      <c r="C9" s="16" t="inlineStr">
        <is>
          <t>Edit blocked on CONVERTED and DISQUALIFIED terminal leads</t>
        </is>
      </c>
      <c r="D9" s="17" t="inlineStr">
        <is>
          <t>Negative</t>
        </is>
      </c>
      <c r="E9" s="17" t="inlineStr">
        <is>
          <t>Medium</t>
        </is>
      </c>
      <c r="F9" s="16" t="inlineStr">
        <is>
          <t>One NEW lead and one DISQUALIFIED lead. User has CRM.LEAD.MANAGE.</t>
        </is>
      </c>
      <c r="G9" s="16" t="inlineStr">
        <is>
          <t>1. Edit fields on the NEW lead and save — verify success.
2. Open the DISQUALIFIED lead — verify edit controls are disabled (canEdit = !isTerminal &amp;&amp; canManage).
3. Force a direct PUT to the DISQUALIFIED lead's endpoint.</t>
        </is>
      </c>
      <c r="H9" s="16" t="inlineStr">
        <is>
          <t>New lead editable; DISQUALIFIED lead should be locked</t>
        </is>
      </c>
      <c r="I9" s="16" t="inlineStr">
        <is>
          <t>NEW lead edit persists. DISQUALIFIED lead: controls disabled, forced PUT returns 'Cannot edit a terminal lead'.</t>
        </is>
      </c>
      <c r="J9" s="16" t="inlineStr">
        <is>
          <t>/admin/crm/leads/uid/:uid</t>
        </is>
      </c>
      <c r="K9" s="16" t="inlineStr">
        <is>
          <t>CRM.LEAD.MANAGE</t>
        </is>
      </c>
      <c r="L9" s="16" t="inlineStr"/>
      <c r="M9" s="17" t="inlineStr">
        <is>
          <t>Not Run</t>
        </is>
      </c>
      <c r="N9" s="17" t="inlineStr"/>
      <c r="O9" s="16" t="inlineStr"/>
      <c r="P9" s="16" t="inlineStr"/>
      <c r="Q9" s="16" t="inlineStr"/>
    </row>
    <row r="10">
      <c r="A10" s="18" t="inlineStr">
        <is>
          <t>CRM-008</t>
        </is>
      </c>
      <c r="B10" s="19" t="inlineStr">
        <is>
          <t>Leads</t>
        </is>
      </c>
      <c r="C10" s="19" t="inlineStr">
        <is>
          <t>Qualified lead transitions to CONVERTED when an opportunity is created from it</t>
        </is>
      </c>
      <c r="D10" s="8" t="inlineStr">
        <is>
          <t>Positive</t>
        </is>
      </c>
      <c r="E10" s="8" t="inlineStr">
        <is>
          <t>High</t>
        </is>
      </c>
      <c r="F10" s="19" t="inlineStr">
        <is>
          <t>A QUALIFIED lead. User has CRM.OPPORTUNITY.MANAGE.</t>
        </is>
      </c>
      <c r="G10" s="19" t="inlineStr">
        <is>
          <t>1. Navigate to /admin/crm/opportunities/create.
2. The source-lead picker lists only QUALIFIED leads — select the lead by name.
3. Complete the opportunity form and submit.
4. Verify the source lead's status is now CONVERTED with convertedAt set.</t>
        </is>
      </c>
      <c r="H10" s="19" t="inlineStr">
        <is>
          <t>A QUALIFIED lead, valid opportunity details</t>
        </is>
      </c>
      <c r="I10" s="19" t="inlineStr">
        <is>
          <t>Opportunity created successfully. Source lead status = CONVERTED, convertedAt stamped. Attempting to attach a non-QUALIFIED (e.g. NEW) lead returns 'Source lead must be QUALIFIED to create an opportunity'.</t>
        </is>
      </c>
      <c r="J10" s="19" t="inlineStr">
        <is>
          <t>/admin/crm/opportunities/create</t>
        </is>
      </c>
      <c r="K10" s="19" t="inlineStr">
        <is>
          <t>CRM.OPPORTUNITY.MANAGE</t>
        </is>
      </c>
      <c r="L10" s="19" t="inlineStr"/>
      <c r="M10" s="8" t="inlineStr">
        <is>
          <t>Not Run</t>
        </is>
      </c>
      <c r="N10" s="8" t="inlineStr"/>
      <c r="O10" s="19" t="inlineStr"/>
      <c r="P10" s="19" t="inlineStr"/>
      <c r="Q10" s="19" t="inlineStr"/>
    </row>
    <row r="11">
      <c r="A11" s="15" t="inlineStr">
        <is>
          <t>CRM-009</t>
        </is>
      </c>
      <c r="B11" s="16" t="inlineStr">
        <is>
          <t>Opportunities</t>
        </is>
      </c>
      <c r="C11" s="16" t="inlineStr">
        <is>
          <t>Opportunity list — pagination, company scope, four states</t>
        </is>
      </c>
      <c r="D11" s="17" t="inlineStr">
        <is>
          <t>Positive</t>
        </is>
      </c>
      <c r="E11" s="17" t="inlineStr">
        <is>
          <t>High</t>
        </is>
      </c>
      <c r="F11" s="16" t="inlineStr">
        <is>
          <t>At least 21 opportunities. User has CRM.OPPORTUNITY.VIEW.</t>
        </is>
      </c>
      <c r="G11" s="16" t="inlineStr">
        <is>
          <t>1. Navigate to /admin/crm/opportunities.
2. Observe loading to idle transition.
3. Verify rows show opportunityNumber, title, customer name, status badge, estimated value formatted as currency.
4. Navigate paginator controls.
5. Test NO-PERMISSION user: nav hidden, route forbidden, API 403.</t>
        </is>
      </c>
      <c r="H11" s="16" t="inlineStr">
        <is>
          <t>Company with 21+ opportunities</t>
        </is>
      </c>
      <c r="I11" s="16" t="inlineStr">
        <is>
          <t>Meta totalPages &gt;= 2. Money formatted 'TZS 1,234.56'. Paginator visible. NO-PERMISSION: 403 on API.</t>
        </is>
      </c>
      <c r="J11" s="16" t="inlineStr">
        <is>
          <t>/admin/crm/opportunities</t>
        </is>
      </c>
      <c r="K11" s="16" t="inlineStr">
        <is>
          <t>CRM.OPPORTUNITY.VIEW</t>
        </is>
      </c>
      <c r="L11" s="16" t="inlineStr"/>
      <c r="M11" s="17" t="inlineStr">
        <is>
          <t>Not Run</t>
        </is>
      </c>
      <c r="N11" s="17" t="inlineStr"/>
      <c r="O11" s="16" t="inlineStr"/>
      <c r="P11" s="16" t="inlineStr"/>
      <c r="Q11" s="16" t="inlineStr"/>
    </row>
    <row r="12">
      <c r="A12" s="18" t="inlineStr">
        <is>
          <t>CRM-010</t>
        </is>
      </c>
      <c r="B12" s="19" t="inlineStr">
        <is>
          <t>Opportunities</t>
        </is>
      </c>
      <c r="C12" s="19" t="inlineStr">
        <is>
          <t>Create opportunity — customer and stage via name pickers; probability inherits from stage</t>
        </is>
      </c>
      <c r="D12" s="8" t="inlineStr">
        <is>
          <t>Positive</t>
        </is>
      </c>
      <c r="E12" s="8" t="inlineStr">
        <is>
          <t>High</t>
        </is>
      </c>
      <c r="F12" s="19" t="inlineStr">
        <is>
          <t>A customer and active pipeline stages (seeded by V51) in the company. User has CRM.OPPORTUNITY.MANAGE.</t>
        </is>
      </c>
      <c r="G12" s="19" t="inlineStr">
        <is>
          <t>1. Navigate to /admin/crm/opportunities/create.
2. Pick customer 'Zanaco Ltd' by name.
3. Select pipeline stage 'PROPOSAL' (defaultProbability 50).
4. Enter title 'Q3 hardware refresh', currency TZS, estimatedValue 5000000.
5. Submit.
6. Verify redirect to /admin/crm/opportunities/uid/:uid.
7. Verify status OPEN, winProbability 50 (inherited from stage).</t>
        </is>
      </c>
      <c r="H12" s="19" t="inlineStr">
        <is>
          <t>title: Q3 hardware refresh, customer: Zanaco Ltd, stage: PROPOSAL, estimatedValue: 5000000</t>
        </is>
      </c>
      <c r="I12" s="19" t="inlineStr">
        <is>
          <t>201 Created. Redirect to detail. status = OPEN. winProbability = 50. opportunityNumber generated. Deactivated stage returns 'Pipeline stage is deactivated'. Stage from another company returns rejection.</t>
        </is>
      </c>
      <c r="J12" s="19" t="inlineStr">
        <is>
          <t>/admin/crm/opportunities/create</t>
        </is>
      </c>
      <c r="K12" s="19" t="inlineStr">
        <is>
          <t>CRM.OPPORTUNITY.MANAGE</t>
        </is>
      </c>
      <c r="L12" s="19" t="inlineStr"/>
      <c r="M12" s="8" t="inlineStr">
        <is>
          <t>Not Run</t>
        </is>
      </c>
      <c r="N12" s="8" t="inlineStr"/>
      <c r="O12" s="19" t="inlineStr"/>
      <c r="P12" s="19" t="inlineStr"/>
      <c r="Q12" s="19" t="inlineStr"/>
    </row>
    <row r="13">
      <c r="A13" s="15" t="inlineStr">
        <is>
          <t>CRM-011</t>
        </is>
      </c>
      <c r="B13" s="16" t="inlineStr">
        <is>
          <t>Opportunities</t>
        </is>
      </c>
      <c r="C13" s="16" t="inlineStr">
        <is>
          <t>Add opportunity line — product search and unit picker; qty and discount validation</t>
        </is>
      </c>
      <c r="D13" s="17" t="inlineStr">
        <is>
          <t>Positive</t>
        </is>
      </c>
      <c r="E13" s="17" t="inlineStr">
        <is>
          <t>High</t>
        </is>
      </c>
      <c r="F13" s="16" t="inlineStr">
        <is>
          <t>An OPEN opportunity. At least 1 product and ACTIVE unit-of-measure in the company. User has CRM.OPPORTUNITY.MANAGE.</t>
        </is>
      </c>
      <c r="G13" s="16" t="inlineStr">
        <is>
          <t>1. Open the opportunity detail.
2. In the Add-line form, search for product 'WIDGET-01 — Widget' (debounced 300ms) and select it.
3. Select unit 'EACH' from the active units dropdown.
4. Enter qty 10, unitPrice 2500, discount% 5.
5. Add the line.
6. Attempt to add a line with qty 0 — verify rejection.
7. Attempt discount% of 110 — verify rejection.</t>
        </is>
      </c>
      <c r="H13" s="16" t="inlineStr">
        <is>
          <t>product: WIDGET-01, unit: EACH, qty: 10, unitPrice: 2500, discount: 5</t>
        </is>
      </c>
      <c r="I13" s="16" t="inlineStr">
        <is>
          <t>Line appended with auto-incremented line_no. Product and unit shown by name not uid. qty = 0 returns 400 (@DecimalMin). discount% 110 returns 400 (chk_opportunity_line_disc). Add-line on WON/LOST opportunity returns 'Cannot modify a closed opportunity'.</t>
        </is>
      </c>
      <c r="J13" s="16" t="inlineStr">
        <is>
          <t>/admin/crm/opportunities/uid/:uid</t>
        </is>
      </c>
      <c r="K13" s="16" t="inlineStr">
        <is>
          <t>CRM.OPPORTUNITY.MANAGE</t>
        </is>
      </c>
      <c r="L13" s="16" t="inlineStr"/>
      <c r="M13" s="17" t="inlineStr">
        <is>
          <t>Not Run</t>
        </is>
      </c>
      <c r="N13" s="17" t="inlineStr"/>
      <c r="O13" s="16" t="inlineStr"/>
      <c r="P13" s="16" t="inlineStr"/>
      <c r="Q13" s="16" t="inlineStr"/>
    </row>
    <row r="14">
      <c r="A14" s="18" t="inlineStr">
        <is>
          <t>CRM-012</t>
        </is>
      </c>
      <c r="B14" s="19" t="inlineStr">
        <is>
          <t>Opportunities</t>
        </is>
      </c>
      <c r="C14" s="19" t="inlineStr">
        <is>
          <t>Advance opportunity stage — probability follows stage default or is overridden</t>
        </is>
      </c>
      <c r="D14" s="8" t="inlineStr">
        <is>
          <t>Positive</t>
        </is>
      </c>
      <c r="E14" s="8" t="inlineStr">
        <is>
          <t>High</t>
        </is>
      </c>
      <c r="F14" s="19" t="inlineStr">
        <is>
          <t>An OPEN opportunity at PROPOSAL stage. At least 2 active pipeline stages. User has CRM.OPPORTUNITY.MANAGE.</t>
        </is>
      </c>
      <c r="G14" s="19" t="inlineStr">
        <is>
          <t>1. Open the Advance-stage form.
2. Select stage 'NEGOTIATION' (default probability 75) — submit.
3. Verify pipelineStageId updated and winProbability = 75.
4. Advance again with a manual probability override of 80.
5. Verify winProbability = 80.</t>
        </is>
      </c>
      <c r="H14" s="19" t="inlineStr">
        <is>
          <t>Target stage: NEGOTIATION (prob 75); second pass with probability override 80</t>
        </is>
      </c>
      <c r="I14" s="19" t="inlineStr">
        <is>
          <t>Stage updated. Default probability applied when no override. Override applied when supplied. Advance on WON/LOST returns 'Cannot modify a closed opportunity'. Deactivated target stage is rejected.</t>
        </is>
      </c>
      <c r="J14" s="19" t="inlineStr">
        <is>
          <t>/admin/crm/opportunities/uid/:uid</t>
        </is>
      </c>
      <c r="K14" s="19" t="inlineStr">
        <is>
          <t>CRM.OPPORTUNITY.MANAGE</t>
        </is>
      </c>
      <c r="L14" s="19" t="inlineStr"/>
      <c r="M14" s="8" t="inlineStr">
        <is>
          <t>Not Run</t>
        </is>
      </c>
      <c r="N14" s="8" t="inlineStr"/>
      <c r="O14" s="19" t="inlineStr"/>
      <c r="P14" s="19" t="inlineStr"/>
      <c r="Q14" s="19" t="inlineStr"/>
    </row>
    <row r="15">
      <c r="A15" s="15" t="inlineStr">
        <is>
          <t>CRM-013</t>
        </is>
      </c>
      <c r="B15" s="16" t="inlineStr">
        <is>
          <t>Opportunities</t>
        </is>
      </c>
      <c r="C15" s="16" t="inlineStr">
        <is>
          <t>Win opportunity — OPEN to WON; wonAt stamped; only OPEN can be won</t>
        </is>
      </c>
      <c r="D15" s="17" t="inlineStr">
        <is>
          <t>Positive</t>
        </is>
      </c>
      <c r="E15" s="17" t="inlineStr">
        <is>
          <t>High</t>
        </is>
      </c>
      <c r="F15" s="16" t="inlineStr">
        <is>
          <t>An OPEN opportunity. User has CRM.OPPORTUNITY.MANAGE.</t>
        </is>
      </c>
      <c r="G15" s="16" t="inlineStr">
        <is>
          <t>1. Open the Win form.
2. Set won-at date (optional — defaults to now if blank).
3. Submit.
4. Verify status = WON and wonAt stamped.
5. Attempt to win an already-WON opportunity — expect rejection.</t>
        </is>
      </c>
      <c r="H15" s="16" t="inlineStr">
        <is>
          <t>OPEN opportunity; wonAt optional</t>
        </is>
      </c>
      <c r="I15" s="16" t="inlineStr">
        <is>
          <t>Status = WON. wonAt populated. Edit/add-line/advance/win/lose actions hidden. Convert still available. Winning a non-OPEN opportunity returns 'Only OPEN opportunities can be won'.</t>
        </is>
      </c>
      <c r="J15" s="16" t="inlineStr">
        <is>
          <t>/admin/crm/opportunities/uid/:uid</t>
        </is>
      </c>
      <c r="K15" s="16" t="inlineStr">
        <is>
          <t>CRM.OPPORTUNITY.MANAGE</t>
        </is>
      </c>
      <c r="L15" s="16" t="inlineStr"/>
      <c r="M15" s="17" t="inlineStr">
        <is>
          <t>Not Run</t>
        </is>
      </c>
      <c r="N15" s="17" t="inlineStr"/>
      <c r="O15" s="16" t="inlineStr"/>
      <c r="P15" s="16" t="inlineStr"/>
      <c r="Q15" s="16" t="inlineStr"/>
    </row>
    <row r="16">
      <c r="A16" s="18" t="inlineStr">
        <is>
          <t>CRM-014</t>
        </is>
      </c>
      <c r="B16" s="19" t="inlineStr">
        <is>
          <t>Opportunities</t>
        </is>
      </c>
      <c r="C16" s="19" t="inlineStr">
        <is>
          <t>Lose opportunity — loss reason required; only OPEN can be lost</t>
        </is>
      </c>
      <c r="D16" s="8" t="inlineStr">
        <is>
          <t>Positive</t>
        </is>
      </c>
      <c r="E16" s="8" t="inlineStr">
        <is>
          <t>High</t>
        </is>
      </c>
      <c r="F16" s="19" t="inlineStr">
        <is>
          <t>An OPEN opportunity. User has CRM.OPPORTUNITY.MANAGE.</t>
        </is>
      </c>
      <c r="G16" s="19" t="inlineStr">
        <is>
          <t>1. Open the Lose form.
2. Enter lossReason 'Lost to competitor on price'.
3. Submit.
4. Verify status = LOST and lostAt + lossReason set.
5. Attempt to lose an already-LOST opportunity.
6. Attempt with a blank reason.</t>
        </is>
      </c>
      <c r="H16" s="19" t="inlineStr">
        <is>
          <t>lossReason: Lost to competitor on price</t>
        </is>
      </c>
      <c r="I16" s="19" t="inlineStr">
        <is>
          <t>Status = LOST. lostAt and lossReason populated. Blank reason: client validation + server 400 @NotBlank. Non-OPEN opportunity returns 'Only OPEN opportunities can be lost'.</t>
        </is>
      </c>
      <c r="J16" s="19" t="inlineStr">
        <is>
          <t>/admin/crm/opportunities/uid/:uid</t>
        </is>
      </c>
      <c r="K16" s="19" t="inlineStr">
        <is>
          <t>CRM.OPPORTUNITY.MANAGE</t>
        </is>
      </c>
      <c r="L16" s="19" t="inlineStr"/>
      <c r="M16" s="8" t="inlineStr">
        <is>
          <t>Not Run</t>
        </is>
      </c>
      <c r="N16" s="8" t="inlineStr"/>
      <c r="O16" s="19" t="inlineStr"/>
      <c r="P16" s="19" t="inlineStr"/>
      <c r="Q16" s="19" t="inlineStr"/>
    </row>
    <row r="17">
      <c r="A17" s="15" t="inlineStr">
        <is>
          <t>CRM-015</t>
        </is>
      </c>
      <c r="B17" s="16" t="inlineStr">
        <is>
          <t>Opportunities</t>
        </is>
      </c>
      <c r="C17" s="16" t="inlineStr">
        <is>
          <t>Convert OPEN opportunity to QUOTATION — CONVERT permission required; zero lines blocked</t>
        </is>
      </c>
      <c r="D17" s="17" t="inlineStr">
        <is>
          <t>Positive</t>
        </is>
      </c>
      <c r="E17" s="17" t="inlineStr">
        <is>
          <t>High</t>
        </is>
      </c>
      <c r="F17" s="16" t="inlineStr">
        <is>
          <t>An OPEN opportunity with at least one line. User has CRM.OPPORTUNITY.CONVERT. A second user has MANAGE but not CONVERT.</t>
        </is>
      </c>
      <c r="G17" s="16" t="inlineStr">
        <is>
          <t>1. Open the Convert form; choose target QUOTATION.
2. Submit.
3. Verify a Quotation is created with lines copied; convertedDocumentKind = QUOTATION + document number shown.
4. Verify 'Open document' link navigates to /admin/quotations/uid/:uid.
5. Log in as MANAGE-without-CONVERT user and attempt convert — expect 403.
6. Attempt convert on an opportunity with 0 lines — expect rejection.</t>
        </is>
      </c>
      <c r="H17" s="16" t="inlineStr">
        <is>
          <t>OPEN opportunity with 1 line</t>
        </is>
      </c>
      <c r="I17" s="16" t="inlineStr">
        <is>
          <t>Quotation created. convertedDocumentKind = QUOTATION. Link navigates to the quotation. MANAGE-without-CONVERT user gets 403. Zero lines: 'Opportunity has no lines'. LOST opportunity convert to QUOTATION rejected.</t>
        </is>
      </c>
      <c r="J17" s="16" t="inlineStr">
        <is>
          <t>/admin/crm/opportunities/uid/:uid</t>
        </is>
      </c>
      <c r="K17" s="16" t="inlineStr">
        <is>
          <t>CRM.OPPORTUNITY.CONVERT</t>
        </is>
      </c>
      <c r="L17" s="16" t="inlineStr"/>
      <c r="M17" s="17" t="inlineStr">
        <is>
          <t>Not Run</t>
        </is>
      </c>
      <c r="N17" s="17" t="inlineStr"/>
      <c r="O17" s="16" t="inlineStr"/>
      <c r="P17" s="16" t="inlineStr"/>
      <c r="Q17" s="16" t="inlineStr"/>
    </row>
    <row r="18">
      <c r="A18" s="18" t="inlineStr">
        <is>
          <t>CRM-016</t>
        </is>
      </c>
      <c r="B18" s="19" t="inlineStr">
        <is>
          <t>Opportunities</t>
        </is>
      </c>
      <c r="C18" s="19" t="inlineStr">
        <is>
          <t>Convert WON opportunity to SALES_ORDER — requires WON status</t>
        </is>
      </c>
      <c r="D18" s="8" t="inlineStr">
        <is>
          <t>Positive</t>
        </is>
      </c>
      <c r="E18" s="8" t="inlineStr">
        <is>
          <t>High</t>
        </is>
      </c>
      <c r="F18" s="19" t="inlineStr">
        <is>
          <t>A WON opportunity with at least one line. User has CRM.OPPORTUNITY.CONVERT.</t>
        </is>
      </c>
      <c r="G18" s="19" t="inlineStr">
        <is>
          <t>1. On the WON opportunity, open Convert form; choose SALES_ORDER.
2. Convert.
3. Verify Sales Order created with lines copied; link navigates to /admin/sales-orders/uid/:uid.
4. Attempt SALES_ORDER convert while opportunity is OPEN (not WON).</t>
        </is>
      </c>
      <c r="H18" s="19" t="inlineStr">
        <is>
          <t>WON opportunity with 1 line</t>
        </is>
      </c>
      <c r="I18" s="19" t="inlineStr">
        <is>
          <t>Sales Order created. convertedDocumentKind = SALES_ORDER. Link points to the SO. Convert to SALES_ORDER on OPEN returns 'Converting to a SALES_ORDER requires the opportunity to be WON'.</t>
        </is>
      </c>
      <c r="J18" s="19" t="inlineStr">
        <is>
          <t>/admin/crm/opportunities/uid/:uid</t>
        </is>
      </c>
      <c r="K18" s="19" t="inlineStr">
        <is>
          <t>CRM.OPPORTUNITY.CONVERT</t>
        </is>
      </c>
      <c r="L18" s="19" t="inlineStr"/>
      <c r="M18" s="8" t="inlineStr">
        <is>
          <t>Not Run</t>
        </is>
      </c>
      <c r="N18" s="8" t="inlineStr"/>
      <c r="O18" s="19" t="inlineStr"/>
      <c r="P18" s="19" t="inlineStr"/>
      <c r="Q18" s="19" t="inlineStr"/>
    </row>
    <row r="19">
      <c r="A19" s="15" t="inlineStr">
        <is>
          <t>CRM-017</t>
        </is>
      </c>
      <c r="B19" s="16" t="inlineStr">
        <is>
          <t>Opportunities</t>
        </is>
      </c>
      <c r="C19" s="16" t="inlineStr">
        <is>
          <t>Convert is idempotent — second convert returns the first document, no duplicate</t>
        </is>
      </c>
      <c r="D19" s="17" t="inlineStr">
        <is>
          <t>Edge</t>
        </is>
      </c>
      <c r="E19" s="17" t="inlineStr">
        <is>
          <t>Medium</t>
        </is>
      </c>
      <c r="F19" s="16" t="inlineStr">
        <is>
          <t>An already-converted opportunity. User has CRM.OPPORTUNITY.CONVERT.</t>
        </is>
      </c>
      <c r="G19" s="16" t="inlineStr">
        <is>
          <t>1. Invoke convert again on the same already-converted opportunity.
2. Verify no second document is created.
3. Verify the response returns the original convertedDocumentKind and convertedDocumentUid.</t>
        </is>
      </c>
      <c r="H19" s="16" t="inlineStr">
        <is>
          <t>Previously converted opportunity from CRM-015</t>
        </is>
      </c>
      <c r="I19" s="16" t="inlineStr">
        <is>
          <t>No duplicate document. Returns the original convertedDocumentKind and convertedDocumentUid. Document number is null on the repeat response (idempotent return). DB unique constraint uq_opportunity_converted_document backstops any race.</t>
        </is>
      </c>
      <c r="J19" s="16" t="inlineStr">
        <is>
          <t>/admin/crm/opportunities/uid/:uid</t>
        </is>
      </c>
      <c r="K19" s="16" t="inlineStr">
        <is>
          <t>CRM.OPPORTUNITY.CONVERT</t>
        </is>
      </c>
      <c r="L19" s="16" t="inlineStr"/>
      <c r="M19" s="17" t="inlineStr">
        <is>
          <t>Not Run</t>
        </is>
      </c>
      <c r="N19" s="17" t="inlineStr"/>
      <c r="O19" s="16" t="inlineStr"/>
      <c r="P19" s="16" t="inlineStr"/>
      <c r="Q19" s="16" t="inlineStr"/>
    </row>
    <row r="20">
      <c r="A20" s="18" t="inlineStr">
        <is>
          <t>CRM-018</t>
        </is>
      </c>
      <c r="B20" s="19" t="inlineStr">
        <is>
          <t>Pipeline</t>
        </is>
      </c>
      <c r="C20" s="19" t="inlineStr">
        <is>
          <t>Pipeline board — summary by stage; company + branch scoped</t>
        </is>
      </c>
      <c r="D20" s="8" t="inlineStr">
        <is>
          <t>Positive</t>
        </is>
      </c>
      <c r="E20" s="8" t="inlineStr">
        <is>
          <t>High</t>
        </is>
      </c>
      <c r="F20" s="19" t="inlineStr">
        <is>
          <t>Open opportunities across multiple pipeline stages in the default branch. User has CRM.PIPELINE.VIEW.</t>
        </is>
      </c>
      <c r="G20" s="19" t="inlineStr">
        <is>
          <t>1. Navigate to /admin/crm/pipeline.
2. Confirm first company and first branch auto-select.
3. Observe the stage board with counts and estimated values per stage.
4. Switch active branch and verify the board re-scopes.
5. Log in as NO-PERMISSION user — verify nav hidden and API 403.</t>
        </is>
      </c>
      <c r="H20" s="19" t="inlineStr">
        <is>
          <t>Opportunities in at least 3 different stages</t>
        </is>
      </c>
      <c r="I20" s="19" t="inlineStr">
        <is>
          <t>PipelineSummaryDto rendered grouped by stage with count and total value. Correct company+branch scope. NO-PERMISSION: 403. User not assigned to selected branch gets scope enforcement error.</t>
        </is>
      </c>
      <c r="J20" s="19" t="inlineStr">
        <is>
          <t>/admin/crm/pipeline</t>
        </is>
      </c>
      <c r="K20" s="19" t="inlineStr">
        <is>
          <t>CRM.PIPELINE.VIEW</t>
        </is>
      </c>
      <c r="L20" s="19" t="inlineStr"/>
      <c r="M20" s="8" t="inlineStr">
        <is>
          <t>Not Run</t>
        </is>
      </c>
      <c r="N20" s="8" t="inlineStr"/>
      <c r="O20" s="19" t="inlineStr"/>
      <c r="P20" s="19" t="inlineStr"/>
      <c r="Q20" s="19" t="inlineStr"/>
    </row>
    <row r="21">
      <c r="A21" s="15" t="inlineStr">
        <is>
          <t>CRM-019</t>
        </is>
      </c>
      <c r="B21" s="16" t="inlineStr">
        <is>
          <t>Pipeline</t>
        </is>
      </c>
      <c r="C21" s="16" t="inlineStr">
        <is>
          <t>Pipeline forecast — weighted by probability over date range</t>
        </is>
      </c>
      <c r="D21" s="17" t="inlineStr">
        <is>
          <t>Positive</t>
        </is>
      </c>
      <c r="E21" s="17" t="inlineStr">
        <is>
          <t>High</t>
        </is>
      </c>
      <c r="F21" s="16" t="inlineStr">
        <is>
          <t>Open opportunities with expectedCloseDate inside a 3-month window and win probabilities set. User has CRM.PIPELINE.VIEW.</t>
        </is>
      </c>
      <c r="G21" s="16" t="inlineStr">
        <is>
          <t>1. Open the pipeline dashboard.
2. Observe forecast for the default date range (current month to +3 months).
3. Adjust From and To dates and click Apply.
4. Verify ForecastDto weighted forecast updates for the new range.</t>
        </is>
      </c>
      <c r="H21" s="16" t="inlineStr">
        <is>
          <t>from: first day of current month, to: 3 months out</t>
        </is>
      </c>
      <c r="I21" s="16" t="inlineStr">
        <is>
          <t>Weighted forecast values displayed. Range adjustment triggers a refetch. Dates in ISO yyyy-MM-dd. Missing from or to: no fetch (client guard). Inverted range (from &gt; to): empty or edge result.</t>
        </is>
      </c>
      <c r="J21" s="16" t="inlineStr">
        <is>
          <t>/admin/crm/pipeline</t>
        </is>
      </c>
      <c r="K21" s="16" t="inlineStr">
        <is>
          <t>CRM.PIPELINE.VIEW</t>
        </is>
      </c>
      <c r="L21" s="16" t="inlineStr"/>
      <c r="M21" s="17" t="inlineStr">
        <is>
          <t>Not Run</t>
        </is>
      </c>
      <c r="N21" s="17" t="inlineStr"/>
      <c r="O21" s="16" t="inlineStr"/>
      <c r="P21" s="16" t="inlineStr"/>
      <c r="Q21" s="16" t="inlineStr"/>
    </row>
    <row r="22">
      <c r="A22" s="18" t="inlineStr">
        <is>
          <t>CRM-020</t>
        </is>
      </c>
      <c r="B22" s="19" t="inlineStr">
        <is>
          <t>Pipeline</t>
        </is>
      </c>
      <c r="C22" s="19" t="inlineStr">
        <is>
          <t>Pipeline KPIs — win-rate and cycle-time; zero-deal period shows zeros not error</t>
        </is>
      </c>
      <c r="D22" s="8" t="inlineStr">
        <is>
          <t>Positive</t>
        </is>
      </c>
      <c r="E22" s="8" t="inlineStr">
        <is>
          <t>Medium</t>
        </is>
      </c>
      <c r="F22" s="19" t="inlineStr">
        <is>
          <t>Some WON and LOST opportunities in the period. User has CRM.PIPELINE.VIEW.</t>
        </is>
      </c>
      <c r="G22" s="19" t="inlineStr">
        <is>
          <t>1. Open the pipeline dashboard KPI panel.
2. Verify win-rate (%) and average cycle-time are displayed.
3. Adjust dates to a period with no closed deals — verify zeros displayed, not an error state.</t>
        </is>
      </c>
      <c r="H22" s="19" t="inlineStr">
        <is>
          <t>Period with WON + LOST deals; then a period with no closed deals</t>
        </is>
      </c>
      <c r="I22" s="19" t="inlineStr">
        <is>
          <t>CrmKpiDto: win-rate and avg cycle-time shown for the period with data. Zero-deal period returns zeros, not an error. Loading/idle states distinct.</t>
        </is>
      </c>
      <c r="J22" s="19" t="inlineStr">
        <is>
          <t>/admin/crm/pipeline</t>
        </is>
      </c>
      <c r="K22" s="19" t="inlineStr">
        <is>
          <t>CRM.PIPELINE.VIEW</t>
        </is>
      </c>
      <c r="L22" s="19" t="inlineStr"/>
      <c r="M22" s="8" t="inlineStr">
        <is>
          <t>Not Run</t>
        </is>
      </c>
      <c r="N22" s="8" t="inlineStr"/>
      <c r="O22" s="19" t="inlineStr"/>
      <c r="P22" s="19" t="inlineStr"/>
      <c r="Q22" s="19" t="inlineStr"/>
    </row>
    <row r="23">
      <c r="A23" s="15" t="inlineStr">
        <is>
          <t>CRM-021</t>
        </is>
      </c>
      <c r="B23" s="16" t="inlineStr">
        <is>
          <t>Pipeline Stages</t>
        </is>
      </c>
      <c r="C23" s="16" t="inlineStr">
        <is>
          <t>Pipeline stages list — V51-seeded stages shown in displayOrder; not paginated</t>
        </is>
      </c>
      <c r="D23" s="17" t="inlineStr">
        <is>
          <t>Positive</t>
        </is>
      </c>
      <c r="E23" s="17" t="inlineStr">
        <is>
          <t>High</t>
        </is>
      </c>
      <c r="F23" s="16" t="inlineStr">
        <is>
          <t>V51 migration seeded 5 stages per company: QUALIFICATION (order 1), NEEDS_ANALYSIS (2), PROPOSAL (3), NEGOTIATION (4), CLOSING (5). User has CRM.STAGE.MANAGE.</t>
        </is>
      </c>
      <c r="G23" s="16" t="inlineStr">
        <is>
          <t>1. Navigate to /admin/crm/settings/pipeline-stages.
2. Observe the list ordered by displayOrder.
3. Verify no paginator is present (intentionally unpaginated — bare array response).</t>
        </is>
      </c>
      <c r="H23" s="16" t="inlineStr">
        <is>
          <t>Company seeded with 5 stages from V51</t>
        </is>
      </c>
      <c r="I23" s="16" t="inlineStr">
        <is>
          <t>Five stages listed in displayOrder 1-5. No paginator rendered. Loading/empty/error/forbidden states handled. Route guard requires CRM.STAGE.MANAGE (not just OPPORTUNITY.VIEW).</t>
        </is>
      </c>
      <c r="J23" s="16" t="inlineStr">
        <is>
          <t>/admin/crm/settings/pipeline-stages</t>
        </is>
      </c>
      <c r="K23" s="16" t="inlineStr">
        <is>
          <t>CRM.STAGE.MANAGE</t>
        </is>
      </c>
      <c r="L23" s="16" t="inlineStr"/>
      <c r="M23" s="17" t="inlineStr">
        <is>
          <t>Not Run</t>
        </is>
      </c>
      <c r="N23" s="17" t="inlineStr"/>
      <c r="O23" s="16" t="inlineStr"/>
      <c r="P23" s="16" t="inlineStr"/>
      <c r="Q23" s="16" t="inlineStr"/>
    </row>
    <row r="24">
      <c r="A24" s="18" t="inlineStr">
        <is>
          <t>CRM-022</t>
        </is>
      </c>
      <c r="B24" s="19" t="inlineStr">
        <is>
          <t>Pipeline Stages</t>
        </is>
      </c>
      <c r="C24" s="19" t="inlineStr">
        <is>
          <t>Create pipeline stage — unique name and displayOrder enforced; probability 0-100</t>
        </is>
      </c>
      <c r="D24" s="8" t="inlineStr">
        <is>
          <t>Positive</t>
        </is>
      </c>
      <c r="E24" s="8" t="inlineStr">
        <is>
          <t>High</t>
        </is>
      </c>
      <c r="F24" s="19" t="inlineStr">
        <is>
          <t>A company with the 5 seeded stages. User has CRM.STAGE.MANAGE.</t>
        </is>
      </c>
      <c r="G24" s="19" t="inlineStr">
        <is>
          <t>1. Click New Stage.
2. Enter name DEMO, displayOrder 6, defaultProbability 40.
3. Submit.
4. Attempt to create a duplicate name 'PROPOSAL'.
5. Attempt defaultProbability of 110.</t>
        </is>
      </c>
      <c r="H24" s="19" t="inlineStr">
        <is>
          <t>name: DEMO, displayOrder: 6, defaultProbability: 40</t>
        </is>
      </c>
      <c r="I24" s="19" t="inlineStr">
        <is>
          <t>201 Created. Stage DEMO appears in list. Duplicate name returns 'Pipeline stage name already exists'. Probability 110 returns client + server 400 (chk_pipeline_stage_probability). Duplicate displayOrder returns DB constraint error.</t>
        </is>
      </c>
      <c r="J24" s="19" t="inlineStr">
        <is>
          <t>/admin/crm/settings/pipeline-stages</t>
        </is>
      </c>
      <c r="K24" s="19" t="inlineStr">
        <is>
          <t>CRM.STAGE.MANAGE</t>
        </is>
      </c>
      <c r="L24" s="19" t="inlineStr"/>
      <c r="M24" s="8" t="inlineStr">
        <is>
          <t>Not Run</t>
        </is>
      </c>
      <c r="N24" s="8" t="inlineStr"/>
      <c r="O24" s="19" t="inlineStr"/>
      <c r="P24" s="19" t="inlineStr"/>
      <c r="Q24" s="19" t="inlineStr"/>
    </row>
    <row r="25">
      <c r="A25" s="15" t="inlineStr">
        <is>
          <t>CRM-023</t>
        </is>
      </c>
      <c r="B25" s="16" t="inlineStr">
        <is>
          <t>Pipeline Stages</t>
        </is>
      </c>
      <c r="C25" s="16" t="inlineStr">
        <is>
          <t>Deactivate pipeline stage — soft-delete; deactivated stage rejected on new opportunity/advance</t>
        </is>
      </c>
      <c r="D25" s="17" t="inlineStr">
        <is>
          <t>Positive</t>
        </is>
      </c>
      <c r="E25" s="17" t="inlineStr">
        <is>
          <t>High</t>
        </is>
      </c>
      <c r="F25" s="16" t="inlineStr">
        <is>
          <t>A stage exists. An open opportunity create flow available. User has CRM.STAGE.MANAGE.</t>
        </is>
      </c>
      <c r="G25" s="16" t="inlineStr">
        <is>
          <t>1. Deactivate the DEMO stage (DELETE endpoint).
2. Verify 204 and isActive = false (record not removed).
3. Confirm DEMO disappears from the active-stage dropdowns in opportunity create/advance.
4. Attempt to create an opportunity with the deactivated stage uid via direct API.</t>
        </is>
      </c>
      <c r="H25" s="16" t="inlineStr">
        <is>
          <t>Stage DEMO (created in CRM-022)</t>
        </is>
      </c>
      <c r="I25" s="16" t="inlineStr">
        <is>
          <t>204 No Content. Stage ACTIVE flag = false. Stage absent from active-stage pickers (UI filters s.active). Direct API with deactivated stage uid returns 'Pipeline stage is deactivated'.</t>
        </is>
      </c>
      <c r="J25" s="16" t="inlineStr">
        <is>
          <t>/admin/crm/settings/pipeline-stages</t>
        </is>
      </c>
      <c r="K25" s="16" t="inlineStr">
        <is>
          <t>CRM.STAGE.MANAGE</t>
        </is>
      </c>
      <c r="L25" s="16" t="inlineStr"/>
      <c r="M25" s="17" t="inlineStr">
        <is>
          <t>Not Run</t>
        </is>
      </c>
      <c r="N25" s="17" t="inlineStr"/>
      <c r="O25" s="16" t="inlineStr"/>
      <c r="P25" s="16" t="inlineStr"/>
      <c r="Q25" s="16" t="inlineStr"/>
    </row>
    <row r="26">
      <c r="A26" s="18" t="inlineStr">
        <is>
          <t>CRM-024</t>
        </is>
      </c>
      <c r="B26" s="19" t="inlineStr">
        <is>
          <t>Activities</t>
        </is>
      </c>
      <c r="C26" s="19" t="inlineStr">
        <is>
          <t>Log CALL, EMAIL, MEETING, NOTE on a lead — subject required, no due date/assignee for non-TASK</t>
        </is>
      </c>
      <c r="D26" s="8" t="inlineStr">
        <is>
          <t>Positive</t>
        </is>
      </c>
      <c r="E26" s="8" t="inlineStr">
        <is>
          <t>High</t>
        </is>
      </c>
      <c r="F26" s="19" t="inlineStr">
        <is>
          <t>A lead exists. User has CRM.ACTIVITY.MANAGE.</t>
        </is>
      </c>
      <c r="G26" s="19" t="inlineStr">
        <is>
          <t>1. Open lead detail; in the activity panel click Log Activity.
2. Choose type CALL; enter subject 'Intro call', body 'Discussed needs'; submit.
3. Verify the activity appears at top of the by-lead list (latest-first).
4. Repeat for EMAIL, MEETING, NOTE types.
5. Attempt to send dueDate on a CALL type — expect rejection.</t>
        </is>
      </c>
      <c r="H26" s="19" t="inlineStr">
        <is>
          <t>type: CALL, subject: Intro call, body: Discussed needs</t>
        </is>
      </c>
      <c r="I26" s="19" t="inlineStr">
        <is>
          <t>201 for each non-TASK type. Activity appears in by-lead list. No dueDate or assignee on non-TASK. Sending dueDate on non-TASK returns 'Only TASK activities may have due_date or assigneeUserId'. Blank subject returns 400.</t>
        </is>
      </c>
      <c r="J26" s="19" t="inlineStr">
        <is>
          <t>/admin/crm/leads/uid/:uid</t>
        </is>
      </c>
      <c r="K26" s="19" t="inlineStr">
        <is>
          <t>CRM.ACTIVITY.MANAGE</t>
        </is>
      </c>
      <c r="L26" s="19" t="inlineStr"/>
      <c r="M26" s="8" t="inlineStr">
        <is>
          <t>Not Run</t>
        </is>
      </c>
      <c r="N26" s="8" t="inlineStr"/>
      <c r="O26" s="19" t="inlineStr"/>
      <c r="P26" s="19" t="inlineStr"/>
      <c r="Q26" s="19" t="inlineStr"/>
    </row>
    <row r="27">
      <c r="A27" s="15" t="inlineStr">
        <is>
          <t>CRM-025</t>
        </is>
      </c>
      <c r="B27" s="16" t="inlineStr">
        <is>
          <t>Activities</t>
        </is>
      </c>
      <c r="C27" s="16" t="inlineStr">
        <is>
          <t>Log TASK on an opportunity — dueDate required; surfaces in open-task inbox</t>
        </is>
      </c>
      <c r="D27" s="17" t="inlineStr">
        <is>
          <t>Positive</t>
        </is>
      </c>
      <c r="E27" s="17" t="inlineStr">
        <is>
          <t>High</t>
        </is>
      </c>
      <c r="F27" s="16" t="inlineStr">
        <is>
          <t>An opportunity exists. User has CRM.ACTIVITY.MANAGE.</t>
        </is>
      </c>
      <c r="G27" s="16" t="inlineStr">
        <is>
          <t>1. Open opportunity detail; in the activity panel choose type TASK (dueDate field appears via isTask).
2. Enter subject 'Send proposal', dueDate 2026-07-01.
3. Submit.
4. Navigate to /admin/crm/activities open-task inbox and verify the task appears.</t>
        </is>
      </c>
      <c r="H27" s="16" t="inlineStr">
        <is>
          <t>type: TASK, subject: Send proposal, dueDate: 2026-07-01</t>
        </is>
      </c>
      <c r="I27" s="16" t="inlineStr">
        <is>
          <t>201 Created. TASK appears in by-opportunity list. Task surfaces in the open-task inbox. TASK without dueDate returns 'TASK activities must have a due_date.' Providing both leadUid and opportunityUid returns 'Exactly one of leadUid or opportunityUid must be provided.'</t>
        </is>
      </c>
      <c r="J27" s="16" t="inlineStr">
        <is>
          <t>/admin/crm/opportunities/uid/:uid</t>
        </is>
      </c>
      <c r="K27" s="16" t="inlineStr">
        <is>
          <t>CRM.ACTIVITY.MANAGE</t>
        </is>
      </c>
      <c r="L27" s="16" t="inlineStr"/>
      <c r="M27" s="17" t="inlineStr">
        <is>
          <t>Not Run</t>
        </is>
      </c>
      <c r="N27" s="17" t="inlineStr"/>
      <c r="O27" s="16" t="inlineStr"/>
      <c r="P27" s="16" t="inlineStr"/>
      <c r="Q27" s="16" t="inlineStr"/>
    </row>
    <row r="28">
      <c r="A28" s="18" t="inlineStr">
        <is>
          <t>CRM-026</t>
        </is>
      </c>
      <c r="B28" s="19" t="inlineStr">
        <is>
          <t>Activities</t>
        </is>
      </c>
      <c r="C28" s="19" t="inlineStr">
        <is>
          <t>Complete a TASK from the open-task inbox; non-TASK and already-done rejected</t>
        </is>
      </c>
      <c r="D28" s="8" t="inlineStr">
        <is>
          <t>Positive</t>
        </is>
      </c>
      <c r="E28" s="8" t="inlineStr">
        <is>
          <t>High</t>
        </is>
      </c>
      <c r="F28" s="19" t="inlineStr">
        <is>
          <t>At least 21 open TASK activities (2+ pages). User has CRM.ACTIVITY.VIEW (list) and CRM.ACTIVITY.MANAGE (complete).</t>
        </is>
      </c>
      <c r="G28" s="19" t="inlineStr">
        <is>
          <t>1. Navigate to /admin/crm/activities.
2. Observe the paginated open-tasks list (only done=false TASKs).
3. Navigate paginator controls.
4. Click Complete on a task row.
5. Verify the task disappears from the inbox and success toast shown.
6. Attempt to complete a non-TASK activity — expect rejection.
7. Attempt to complete the already-completed task — expect rejection.</t>
        </is>
      </c>
      <c r="H28" s="19" t="inlineStr">
        <is>
          <t>21+ open TASK activities</t>
        </is>
      </c>
      <c r="I28" s="19" t="inlineStr">
        <is>
          <t>Only open TASKs listed. Paginator visible. On complete: task removed from inbox, list reloads. Complete on non-TASK: 'Only TASK activities can be completed'. Complete on already-done: 'Activity is already done.' VIEW-only user: Complete button hidden, API 403.</t>
        </is>
      </c>
      <c r="J28" s="19" t="inlineStr">
        <is>
          <t>/admin/crm/activities</t>
        </is>
      </c>
      <c r="K28" s="19" t="inlineStr">
        <is>
          <t>CRM.ACTIVITY.MANAGE</t>
        </is>
      </c>
      <c r="L28" s="19" t="inlineStr"/>
      <c r="M28" s="8" t="inlineStr">
        <is>
          <t>Not Run</t>
        </is>
      </c>
      <c r="N28" s="8" t="inlineStr"/>
      <c r="O28" s="19" t="inlineStr"/>
      <c r="P28" s="19" t="inlineStr"/>
      <c r="Q28" s="19" t="inlineStr"/>
    </row>
    <row r="29">
      <c r="A29" s="15" t="inlineStr">
        <is>
          <t>CRM-027</t>
        </is>
      </c>
      <c r="B29" s="16" t="inlineStr">
        <is>
          <t>Activities</t>
        </is>
      </c>
      <c r="C29" s="16" t="inlineStr">
        <is>
          <t>Activity panel — paginated by-lead and by-opportunity lists; cross-tenant lead denied</t>
        </is>
      </c>
      <c r="D29" s="17" t="inlineStr">
        <is>
          <t>Positive</t>
        </is>
      </c>
      <c r="E29" s="17" t="inlineStr">
        <is>
          <t>Medium</t>
        </is>
      </c>
      <c r="F29" s="16" t="inlineStr">
        <is>
          <t>At least 11 activities on one lead (panel size 10). User has CRM.ACTIVITY.VIEW.</t>
        </is>
      </c>
      <c r="G29" s="16" t="inlineStr">
        <is>
          <t>1. Open the lead detail with 11+ activities.
2. Verify the activity panel paginates (size 10), ordered occurredAt descending.
3. Attempt to access activities panel for a lead belonging to another tenant.</t>
        </is>
      </c>
      <c r="H29" s="16" t="inlineStr">
        <is>
          <t>Lead with 11+ activities</t>
        </is>
      </c>
      <c r="I29" s="16" t="inlineStr">
        <is>
          <t>Activities paged at size 10, ordered latest-first. Paginator visible. Meta reflects totals. Cross-tenant lead uid returns 403 (scoped on lead uid). Empty lead: empty panel state.</t>
        </is>
      </c>
      <c r="J29" s="16" t="inlineStr">
        <is>
          <t>/admin/crm/leads/uid/:uid</t>
        </is>
      </c>
      <c r="K29" s="16" t="inlineStr">
        <is>
          <t>CRM.ACTIVITY.VIEW</t>
        </is>
      </c>
      <c r="L29" s="16" t="inlineStr"/>
      <c r="M29" s="17" t="inlineStr">
        <is>
          <t>Not Run</t>
        </is>
      </c>
      <c r="N29" s="17" t="inlineStr"/>
      <c r="O29" s="16" t="inlineStr"/>
      <c r="P29" s="16" t="inlineStr"/>
      <c r="Q29" s="16" t="inlineStr"/>
    </row>
    <row r="30">
      <c r="A30" s="18" t="inlineStr">
        <is>
          <t>CRM-028</t>
        </is>
      </c>
      <c r="B30" s="19" t="inlineStr">
        <is>
          <t>Cross-cutting</t>
        </is>
      </c>
      <c r="C30" s="19" t="inlineStr">
        <is>
          <t>Multi-tenant isolation — tenant A cannot access tenant B CRM records</t>
        </is>
      </c>
      <c r="D30" s="8" t="inlineStr">
        <is>
          <t>Negative</t>
        </is>
      </c>
      <c r="E30" s="8" t="inlineStr">
        <is>
          <t>High</t>
        </is>
      </c>
      <c r="F30" s="19" t="inlineStr">
        <is>
          <t>Two organisations each with leads, opportunities, stages, and activities. Tenant A user has full CRM permissions.</t>
        </is>
      </c>
      <c r="G30" s="19" t="inlineStr">
        <is>
          <t>1. As tenant-A user, list leads for company A — confirm only A's records appear.
2. Attempt GET /api/v1/crm/leads/uid/{B-lead} — expect 403.
3. Attempt list leads with companyId of tenant B — expect 403.
4. Attempt GET on a tenant-B opportunity uid — expect 403.
5. Attempt list activities for a tenant-B lead uid — expect 403.</t>
        </is>
      </c>
      <c r="H30" s="19" t="inlineStr">
        <is>
          <t>Tenant A and Tenant B CRM record uids</t>
        </is>
      </c>
      <c r="I30" s="19" t="inlineStr">
        <is>
          <t>Every cross-tenant access returns 403 (ScopeGuard). No tenant-B data ever appears for tenant-A user. rootadmin can cross tenants (positive control to validate the guard is specific to non-superusers).</t>
        </is>
      </c>
      <c r="J30" s="19" t="inlineStr">
        <is>
          <t>/admin/crm/*</t>
        </is>
      </c>
      <c r="K30" s="19" t="inlineStr">
        <is>
          <t>CRM.LEAD.VIEW</t>
        </is>
      </c>
      <c r="L30" s="19" t="inlineStr"/>
      <c r="M30" s="8" t="inlineStr">
        <is>
          <t>Not Run</t>
        </is>
      </c>
      <c r="N30" s="8" t="inlineStr"/>
      <c r="O30" s="19" t="inlineStr"/>
      <c r="P30" s="19" t="inlineStr"/>
      <c r="Q30" s="19" t="inlineStr"/>
    </row>
    <row r="31">
      <c r="A31" s="15" t="inlineStr">
        <is>
          <t>CRM-029</t>
        </is>
      </c>
      <c r="B31" s="16" t="inlineStr">
        <is>
          <t>Cross-cutting</t>
        </is>
      </c>
      <c r="C31" s="16" t="inlineStr">
        <is>
          <t>RBAC matrix — each CRM action denied for role missing exactly that permission</t>
        </is>
      </c>
      <c r="D31" s="17" t="inlineStr">
        <is>
          <t>Permission</t>
        </is>
      </c>
      <c r="E31" s="17" t="inlineStr">
        <is>
          <t>High</t>
        </is>
      </c>
      <c r="F31" s="16" t="inlineStr">
        <is>
          <t>Custom roles: one per assertion, each granted all CRM permissions except the one under test.</t>
        </is>
      </c>
      <c r="G31" s="16" t="inlineStr">
        <is>
          <t>1. CRM.LEAD.MANAGE absent: create/contact/disqualify lead — all 403; nav item hidden.
2. CRM.LEAD.QUALIFY absent: qualify action hidden, API 403.
3. CRM.OPPORTUNITY.MANAGE absent: create/edit/win/lose/advance — all 403.
4. CRM.OPPORTUNITY.CONVERT absent: convert hidden, API 403.
5. CRM.ACTIVITY.MANAGE absent: log/complete actions hidden, API 403.
6. CRM.STAGE.MANAGE absent: stage settings route forbidden, create/edit/deactivate 403.
7. CRM.PIPELINE.VIEW absent: pipeline nav hidden, API 403.</t>
        </is>
      </c>
      <c r="H31" s="16" t="inlineStr">
        <is>
          <t>Custom roles per assertion</t>
        </is>
      </c>
      <c r="I31" s="16" t="inlineStr">
        <is>
          <t>Each action returns 403 when the required permission is absent. UI control hidden per canX computed signals. Cross-gate: stage list/getByUid use CRM.OPPORTUNITY.VIEW — a STAGE.MANAGE-only role without OPPORTUNITY.VIEW cannot hit them.</t>
        </is>
      </c>
      <c r="J31" s="16" t="inlineStr">
        <is>
          <t>/admin/crm/*</t>
        </is>
      </c>
      <c r="K31" s="16" t="inlineStr">
        <is>
          <t>CRM.LEAD.MANAGE</t>
        </is>
      </c>
      <c r="L31" s="16" t="inlineStr"/>
      <c r="M31" s="17" t="inlineStr">
        <is>
          <t>Not Run</t>
        </is>
      </c>
      <c r="N31" s="17" t="inlineStr"/>
      <c r="O31" s="16" t="inlineStr"/>
      <c r="P31" s="16" t="inlineStr"/>
      <c r="Q31" s="16" t="inlineStr"/>
    </row>
    <row r="32">
      <c r="A32" s="18" t="inlineStr">
        <is>
          <t>CRM-030</t>
        </is>
      </c>
      <c r="B32" s="19" t="inlineStr">
        <is>
          <t>Cross-cutting</t>
        </is>
      </c>
      <c r="C32" s="19" t="inlineStr">
        <is>
          <t>uid never shown to users — all CRM resources chosen by name via picker</t>
        </is>
      </c>
      <c r="D32" s="8" t="inlineStr">
        <is>
          <t>Positive</t>
        </is>
      </c>
      <c r="E32" s="8" t="inlineStr">
        <is>
          <t>High</t>
        </is>
      </c>
      <c r="F32" s="19" t="inlineStr">
        <is>
          <t>Full CRM permissions as ORG_ADMIN. Several leads, opportunities, stages, and activities seeded.</t>
        </is>
      </c>
      <c r="G32" s="19" t="inlineStr">
        <is>
          <t>1. Scan all CRM screens (leads list/detail, opportunity create/detail, stages list, activities panel and inbox) for any raw 26-character uid in visible text.
2. Verify every cross-resource reference (customer, source lead, product, pipeline stage) is presented as a human name or code in the picker.
3. Verify uid appears only in /admin/.../uid/:uid URL paths.</t>
        </is>
      </c>
      <c r="H32" s="19" t="inlineStr">
        <is>
          <t>n/a</t>
        </is>
      </c>
      <c r="I32" s="19" t="inlineStr">
        <is>
          <t>No raw uid visible in tables, labels, or detail text. All pickers show name/code labels. Resource numbers (LEAD-0001, OPP-0001) are shown in place of uids. Pickers are keyboard-operable and labelled for accessibility.</t>
        </is>
      </c>
      <c r="J32" s="19" t="inlineStr">
        <is>
          <t>/admin/crm/*</t>
        </is>
      </c>
      <c r="K32" s="19" t="inlineStr">
        <is>
          <t>CRM.OPPORTUNITY.VIEW</t>
        </is>
      </c>
      <c r="L32" s="19" t="inlineStr"/>
      <c r="M32" s="8" t="inlineStr">
        <is>
          <t>Not Run</t>
        </is>
      </c>
      <c r="N32" s="8" t="inlineStr"/>
      <c r="O32" s="19" t="inlineStr"/>
      <c r="P32" s="19" t="inlineStr"/>
      <c r="Q32" s="19" t="inlineStr"/>
    </row>
  </sheetData>
  <autoFilter ref="A2:Q32"/>
  <mergeCells count="1">
    <mergeCell ref="A1:Q1"/>
  </mergeCells>
  <dataValidations count="4">
    <dataValidation sqref="D3:D32" showDropDown="0" showInputMessage="0" showErrorMessage="0" allowBlank="1" type="list">
      <formula1>"Positive,Negative,Permission,Edge"</formula1>
    </dataValidation>
    <dataValidation sqref="E3:E32" showDropDown="0" showInputMessage="0" showErrorMessage="0" allowBlank="1" type="list">
      <formula1>"High,Medium,Low"</formula1>
    </dataValidation>
    <dataValidation sqref="M3:M32" showDropDown="0" showInputMessage="0" showErrorMessage="0" allowBlank="1" type="list">
      <formula1>"Not Run,Pass,Fail,Blocked,N/A"</formula1>
    </dataValidation>
    <dataValidation sqref="N3:N32" showDropDown="0" showInputMessage="0" showErrorMessage="0" allowBlank="1" type="list">
      <formula1>"-,Critical,High,Medium,Low"</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28"/>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0" customWidth="1" min="3" max="3"/>
    <col width="11" customWidth="1" min="4" max="4"/>
    <col width="9" customWidth="1" min="5" max="5"/>
    <col width="34" customWidth="1" min="6" max="6"/>
    <col width="46" customWidth="1" min="7" max="7"/>
    <col width="26" customWidth="1" min="8" max="8"/>
    <col width="42" customWidth="1" min="9" max="9"/>
    <col width="26" customWidth="1" min="10" max="10"/>
    <col width="22" customWidth="1" min="11" max="11"/>
    <col width="30" customWidth="1" min="12" max="12"/>
    <col width="12" customWidth="1" min="13" max="13"/>
    <col width="11" customWidth="1" min="14" max="14"/>
    <col width="14" customWidth="1" min="15" max="15"/>
    <col width="12" customWidth="1" min="16" max="16"/>
    <col width="30" customWidth="1" min="17" max="17"/>
  </cols>
  <sheetData>
    <row r="1" ht="22" customHeight="1">
      <c r="A1" s="13" t="inlineStr">
        <is>
          <t>Projects  —  UAT</t>
        </is>
      </c>
    </row>
    <row r="2">
      <c r="A2" s="14" t="inlineStr">
        <is>
          <t>ID</t>
        </is>
      </c>
      <c r="B2" s="14" t="inlineStr">
        <is>
          <t>Area</t>
        </is>
      </c>
      <c r="C2" s="14" t="inlineStr">
        <is>
          <t>Test Scenario</t>
        </is>
      </c>
      <c r="D2" s="14" t="inlineStr">
        <is>
          <t>Type</t>
        </is>
      </c>
      <c r="E2" s="14" t="inlineStr">
        <is>
          <t>Priority</t>
        </is>
      </c>
      <c r="F2" s="14" t="inlineStr">
        <is>
          <t>Preconditions</t>
        </is>
      </c>
      <c r="G2" s="14" t="inlineStr">
        <is>
          <t>Steps</t>
        </is>
      </c>
      <c r="H2" s="14" t="inlineStr">
        <is>
          <t>Test Data</t>
        </is>
      </c>
      <c r="I2" s="14" t="inlineStr">
        <is>
          <t>Expected Result</t>
        </is>
      </c>
      <c r="J2" s="14" t="inlineStr">
        <is>
          <t>Route</t>
        </is>
      </c>
      <c r="K2" s="14" t="inlineStr">
        <is>
          <t>Permission</t>
        </is>
      </c>
      <c r="L2" s="14" t="inlineStr">
        <is>
          <t>Actual Result</t>
        </is>
      </c>
      <c r="M2" s="14" t="inlineStr">
        <is>
          <t>Status</t>
        </is>
      </c>
      <c r="N2" s="14" t="inlineStr">
        <is>
          <t>Severity</t>
        </is>
      </c>
      <c r="O2" s="14" t="inlineStr">
        <is>
          <t>Tester</t>
        </is>
      </c>
      <c r="P2" s="14" t="inlineStr">
        <is>
          <t>Run Date</t>
        </is>
      </c>
      <c r="Q2" s="14" t="inlineStr">
        <is>
          <t>Comments</t>
        </is>
      </c>
    </row>
    <row r="3">
      <c r="A3" s="15" t="inlineStr">
        <is>
          <t>PRJ-001</t>
        </is>
      </c>
      <c r="B3" s="16" t="inlineStr">
        <is>
          <t>Projects Nav</t>
        </is>
      </c>
      <c r="C3" s="16" t="inlineStr">
        <is>
          <t>Projects nav group visible only with correct permissions; WIP Report gated separately</t>
        </is>
      </c>
      <c r="D3" s="17" t="inlineStr">
        <is>
          <t>Permission</t>
        </is>
      </c>
      <c r="E3" s="17" t="inlineStr">
        <is>
          <t>High</t>
        </is>
      </c>
      <c r="F3" s="16" t="inlineStr">
        <is>
          <t>Three users: ORG_ADMIN (all PROJECTS.*), COSTING-only user (PROJECTS.COSTING.VIEW only), NO-PERMISSION user.</t>
        </is>
      </c>
      <c r="G3" s="16" t="inlineStr">
        <is>
          <t>1. Log in as ORG_ADMIN — expand Projects nav group, verify both 'Projects' and 'WIP Report' links are present.
2. Log in as COSTING-only user — verify 'WIP Report' visible but 'Projects' link absent.
3. Log in as NO-PERMISSION user — verify the entire Projects nav group is absent.</t>
        </is>
      </c>
      <c r="H3" s="16" t="inlineStr">
        <is>
          <t>Three users with the described permission sets</t>
        </is>
      </c>
      <c r="I3" s="16" t="inlineStr">
        <is>
          <t>ORG_ADMIN sees both links. COSTING-only sees WIP Report but not Projects list. NO-PERMISSION sees neither. Axe scan clean on nav for ORG_ADMIN.</t>
        </is>
      </c>
      <c r="J3" s="16" t="inlineStr">
        <is>
          <t>/admin/projects</t>
        </is>
      </c>
      <c r="K3" s="16" t="inlineStr">
        <is>
          <t>PROJECTS.PROJECT.VIEW</t>
        </is>
      </c>
      <c r="L3" s="16" t="inlineStr"/>
      <c r="M3" s="17" t="inlineStr">
        <is>
          <t>Not Run</t>
        </is>
      </c>
      <c r="N3" s="17" t="inlineStr"/>
      <c r="O3" s="16" t="inlineStr"/>
      <c r="P3" s="16" t="inlineStr"/>
      <c r="Q3" s="16" t="inlineStr"/>
    </row>
    <row r="4">
      <c r="A4" s="18" t="inlineStr">
        <is>
          <t>PRJ-002</t>
        </is>
      </c>
      <c r="B4" s="19" t="inlineStr">
        <is>
          <t>Projects</t>
        </is>
      </c>
      <c r="C4" s="19" t="inlineStr">
        <is>
          <t>Project list — four states, pagination, company scope; CREATE button gated</t>
        </is>
      </c>
      <c r="D4" s="8" t="inlineStr">
        <is>
          <t>Positive</t>
        </is>
      </c>
      <c r="E4" s="8" t="inlineStr">
        <is>
          <t>High</t>
        </is>
      </c>
      <c r="F4" s="19" t="inlineStr">
        <is>
          <t>At least 21 ACTIVE projects in the company (to force 2 pages). User has PROJECTS.PROJECT.VIEW. A second user has VIEW only (no CREATE).</t>
        </is>
      </c>
      <c r="G4" s="19" t="inlineStr">
        <is>
          <t>1. Navigate to /admin/projects as ORG_ADMIN.
2. Observe loading to idle; table shows Project #, name, status badge, dates, budget.
3. Use paginator: FIRST, PREVIOUS, page numbers, NEXT, LAST.
4. Confirm company selector scopes the list.
5. Log in as VIEW-only user — verify New Project button is absent; direct POST returns 403.</t>
        </is>
      </c>
      <c r="H4" s="19" t="inlineStr">
        <is>
          <t>Company with 21+ ACTIVE projects</t>
        </is>
      </c>
      <c r="I4" s="19" t="inlineStr">
        <is>
          <t>Meta: totalPages &gt;= 2, hasNext = true on page 1. Money formatted 'TZS n,nnn.nn'. Paginator visible. VIEW-only user: New Project hidden, POST 403.</t>
        </is>
      </c>
      <c r="J4" s="19" t="inlineStr">
        <is>
          <t>/admin/projects</t>
        </is>
      </c>
      <c r="K4" s="19" t="inlineStr">
        <is>
          <t>PROJECTS.PROJECT.VIEW</t>
        </is>
      </c>
      <c r="L4" s="19" t="inlineStr"/>
      <c r="M4" s="8" t="inlineStr">
        <is>
          <t>Not Run</t>
        </is>
      </c>
      <c r="N4" s="8" t="inlineStr"/>
      <c r="O4" s="19" t="inlineStr"/>
      <c r="P4" s="19" t="inlineStr"/>
      <c r="Q4" s="19" t="inlineStr"/>
    </row>
    <row r="5">
      <c r="A5" s="15" t="inlineStr">
        <is>
          <t>PRJ-003</t>
        </is>
      </c>
      <c r="B5" s="16" t="inlineStr">
        <is>
          <t>Projects</t>
        </is>
      </c>
      <c r="C5" s="16" t="inlineStr">
        <is>
          <t>Create project — minimal name only; project number PRJ-#### generated</t>
        </is>
      </c>
      <c r="D5" s="17" t="inlineStr">
        <is>
          <t>Positive</t>
        </is>
      </c>
      <c r="E5" s="17" t="inlineStr">
        <is>
          <t>High</t>
        </is>
      </c>
      <c r="F5" s="16" t="inlineStr">
        <is>
          <t>A company with a default branch exists. User has PROJECTS.PROJECT.CREATE.</t>
        </is>
      </c>
      <c r="G5" s="16" t="inlineStr">
        <is>
          <t>1. Navigate to /admin/projects.
2. Click New Project (visible when canCreate).
3. Enter name 'Office Fit-out 2026'; leave dates, budget, notes blank.
4. Submit.
5. Verify success alert shows the project number.
6. Verify the list reloads with the new project.</t>
        </is>
      </c>
      <c r="H5" s="16" t="inlineStr">
        <is>
          <t>name: Office Fit-out 2026</t>
        </is>
      </c>
      <c r="I5" s="16" t="inlineStr">
        <is>
          <t>200/201 with ProjectDto. projectNumber format PRJ-####. projectStatus = DRAFT. status (MasterStatus) = ACTIVE. currency defaults to company base currency (TZS). Success alert shows project number, not uid. Blank name returns client 'Project name is required.' Name &gt; 160 chars returns server 400.</t>
        </is>
      </c>
      <c r="J5" s="16" t="inlineStr">
        <is>
          <t>/admin/projects</t>
        </is>
      </c>
      <c r="K5" s="16" t="inlineStr">
        <is>
          <t>PROJECTS.PROJECT.CREATE</t>
        </is>
      </c>
      <c r="L5" s="16" t="inlineStr"/>
      <c r="M5" s="17" t="inlineStr">
        <is>
          <t>Not Run</t>
        </is>
      </c>
      <c r="N5" s="17" t="inlineStr"/>
      <c r="O5" s="16" t="inlineStr"/>
      <c r="P5" s="16" t="inlineStr"/>
      <c r="Q5" s="16" t="inlineStr"/>
    </row>
    <row r="6">
      <c r="A6" s="18" t="inlineStr">
        <is>
          <t>PRJ-004</t>
        </is>
      </c>
      <c r="B6" s="19" t="inlineStr">
        <is>
          <t>Projects</t>
        </is>
      </c>
      <c r="C6" s="19" t="inlineStr">
        <is>
          <t>Edit project — set customer and manager via name pickers; cross-company customer rejected</t>
        </is>
      </c>
      <c r="D6" s="8" t="inlineStr">
        <is>
          <t>Positive</t>
        </is>
      </c>
      <c r="E6" s="8" t="inlineStr">
        <is>
          <t>High</t>
        </is>
      </c>
      <c r="F6" s="19" t="inlineStr">
        <is>
          <t>A DRAFT project. A BUSINESS/CREDIT_ACCOUNT customer and a user to be manager both in the same company. User has PROJECTS.PROJECT.MANAGE.</t>
        </is>
      </c>
      <c r="G6" s="19" t="inlineStr">
        <is>
          <t>1. Open project detail at /admin/projects/uid/:uid.
2. In the edit panel, open Customer uid-picker and select 'Acme Traders Ltd' by display name.
3. Open Manager uid-picker and select 'Jane Mwita' by name.
4. Change name, planned dates, budget, notes.
5. Save.
6. Attempt with a customer uid from a different company.</t>
        </is>
      </c>
      <c r="H6" s="19" t="inlineStr">
        <is>
          <t>customer: Acme Traders Ltd, manager: Jane Mwita, name: Office Fit-out 2026 (rev B), start: 2026-07-01, end: 2026-12-31, budget: 15000000</t>
        </is>
      </c>
      <c r="I6" s="19" t="inlineStr">
        <is>
          <t>PUT succeeds. customerId and managerUserId populated. No raw uid shown — selection was by name. Cross-company customer returns NotFoundException 404. Blank name returns client validation. Name &gt; 160 chars returns 400.</t>
        </is>
      </c>
      <c r="J6" s="19" t="inlineStr">
        <is>
          <t>/admin/projects/uid/:uid</t>
        </is>
      </c>
      <c r="K6" s="19" t="inlineStr">
        <is>
          <t>PROJECTS.PROJECT.MANAGE</t>
        </is>
      </c>
      <c r="L6" s="19" t="inlineStr"/>
      <c r="M6" s="8" t="inlineStr">
        <is>
          <t>Not Run</t>
        </is>
      </c>
      <c r="N6" s="8" t="inlineStr"/>
      <c r="O6" s="19" t="inlineStr"/>
      <c r="P6" s="19" t="inlineStr"/>
      <c r="Q6" s="19" t="inlineStr"/>
    </row>
    <row r="7">
      <c r="A7" s="15" t="inlineStr">
        <is>
          <t>PRJ-005</t>
        </is>
      </c>
      <c r="B7" s="16" t="inlineStr">
        <is>
          <t>Projects</t>
        </is>
      </c>
      <c r="C7" s="16" t="inlineStr">
        <is>
          <t>Archive project — MasterStatus becomes ARCHIVED; hidden from default list filter</t>
        </is>
      </c>
      <c r="D7" s="17" t="inlineStr">
        <is>
          <t>Positive</t>
        </is>
      </c>
      <c r="E7" s="17" t="inlineStr">
        <is>
          <t>Medium</t>
        </is>
      </c>
      <c r="F7" s="16" t="inlineStr">
        <is>
          <t>An existing project. User has PROJECTS.PROJECT.MANAGE.</t>
        </is>
      </c>
      <c r="G7" s="16" t="inlineStr">
        <is>
          <t>1. Open the project detail and click Archive.
2. Verify success alert; header status badge shows ARCHIVED.
3. Navigate to /admin/projects — confirm project absent from default (ACTIVE MasterStatus) list.
4. Confirm project retrieved via status=ARCHIVED query param.</t>
        </is>
      </c>
      <c r="H7" s="16" t="inlineStr">
        <is>
          <t>An existing project</t>
        </is>
      </c>
      <c r="I7" s="16" t="inlineStr">
        <is>
          <t>PATCH .../archive sets status = ARCHIVED. Audit PROJECT_ARCHIVE recorded. Project hidden from default list. Retrievable via status=ARCHIVED filter. Archiving an already-archived project is idempotent.</t>
        </is>
      </c>
      <c r="J7" s="16" t="inlineStr">
        <is>
          <t>/admin/projects/uid/:uid</t>
        </is>
      </c>
      <c r="K7" s="16" t="inlineStr">
        <is>
          <t>PROJECTS.PROJECT.MANAGE</t>
        </is>
      </c>
      <c r="L7" s="16" t="inlineStr"/>
      <c r="M7" s="17" t="inlineStr">
        <is>
          <t>Not Run</t>
        </is>
      </c>
      <c r="N7" s="17" t="inlineStr"/>
      <c r="O7" s="16" t="inlineStr"/>
      <c r="P7" s="16" t="inlineStr"/>
      <c r="Q7" s="16" t="inlineStr"/>
    </row>
    <row r="8">
      <c r="A8" s="18" t="inlineStr">
        <is>
          <t>PRJ-006</t>
        </is>
      </c>
      <c r="B8" s="19" t="inlineStr">
        <is>
          <t>Lifecycle</t>
        </is>
      </c>
      <c r="C8" s="19" t="inlineStr">
        <is>
          <t>Project lifecycle — full legal path: DRAFT -&gt; ACTIVE -&gt; ON_HOLD -&gt; ACTIVE -&gt; COMPLETED</t>
        </is>
      </c>
      <c r="D8" s="8" t="inlineStr">
        <is>
          <t>Positive</t>
        </is>
      </c>
      <c r="E8" s="8" t="inlineStr">
        <is>
          <t>High</t>
        </is>
      </c>
      <c r="F8" s="19" t="inlineStr">
        <is>
          <t>A DRAFT project. User has PROJECTS.PROJECT.MANAGE.</t>
        </is>
      </c>
      <c r="G8" s="19" t="inlineStr">
        <is>
          <t>1. DRAFT project: click Activate → verify projectStatus = ACTIVE, activatedAt stamped.
2. ACTIVE project: click Hold → verify status = ON_HOLD.
3. ON_HOLD project: click Resume → verify status = ACTIVE again.
4. ACTIVE project: click Complete → verify status = COMPLETED, completedAt stamped, lifecycle buttons hidden (isTerminal).</t>
        </is>
      </c>
      <c r="H8" s="19" t="inlineStr">
        <is>
          <t>Single project progressed through each state</t>
        </is>
      </c>
      <c r="I8" s="19" t="inlineStr">
        <is>
          <t>Each transition succeeds. Timestamps stamped per transition. Audit PROJECT_STATUS_CHANGE events created. On COMPLETED: no further lifecycle buttons rendered. ON_HOLD → COMPLETED also valid (separate positive control).</t>
        </is>
      </c>
      <c r="J8" s="19" t="inlineStr">
        <is>
          <t>/admin/projects/uid/:uid</t>
        </is>
      </c>
      <c r="K8" s="19" t="inlineStr">
        <is>
          <t>PROJECTS.PROJECT.MANAGE</t>
        </is>
      </c>
      <c r="L8" s="19" t="inlineStr"/>
      <c r="M8" s="8" t="inlineStr">
        <is>
          <t>Not Run</t>
        </is>
      </c>
      <c r="N8" s="8" t="inlineStr"/>
      <c r="O8" s="19" t="inlineStr"/>
      <c r="P8" s="19" t="inlineStr"/>
      <c r="Q8" s="19" t="inlineStr"/>
    </row>
    <row r="9">
      <c r="A9" s="15" t="inlineStr">
        <is>
          <t>PRJ-007</t>
        </is>
      </c>
      <c r="B9" s="16" t="inlineStr">
        <is>
          <t>Lifecycle</t>
        </is>
      </c>
      <c r="C9" s="16" t="inlineStr">
        <is>
          <t>Cancel project from DRAFT, ACTIVE, and ON_HOLD; CANCELLED is terminal</t>
        </is>
      </c>
      <c r="D9" s="17" t="inlineStr">
        <is>
          <t>Positive</t>
        </is>
      </c>
      <c r="E9" s="17" t="inlineStr">
        <is>
          <t>High</t>
        </is>
      </c>
      <c r="F9" s="16" t="inlineStr">
        <is>
          <t>Three projects: one each in DRAFT, ACTIVE, ON_HOLD. User has PROJECTS.PROJECT.MANAGE.</t>
        </is>
      </c>
      <c r="G9" s="16" t="inlineStr">
        <is>
          <t>1. Cancel the DRAFT project — verify CANCELLED and cancelledAt stamped.
2. Cancel the ACTIVE project — verify CANCELLED.
3. Cancel the ON_HOLD project — verify CANCELLED.
4. Attempt any transition from a CANCELLED project — expect rejection.</t>
        </is>
      </c>
      <c r="H9" s="16" t="inlineStr">
        <is>
          <t>Projects in DRAFT, ACTIVE, ON_HOLD</t>
        </is>
      </c>
      <c r="I9" s="16" t="inlineStr">
        <is>
          <t>All three move to CANCELLED. cancelledAt stamped for each. Audited. CANCELLED → any transition returns IllegalStateException. UI offers no lifecycle buttons when CANCELLED (isTerminal).</t>
        </is>
      </c>
      <c r="J9" s="16" t="inlineStr">
        <is>
          <t>/admin/projects/uid/:uid</t>
        </is>
      </c>
      <c r="K9" s="16" t="inlineStr">
        <is>
          <t>PROJECTS.PROJECT.MANAGE</t>
        </is>
      </c>
      <c r="L9" s="16" t="inlineStr"/>
      <c r="M9" s="17" t="inlineStr">
        <is>
          <t>Not Run</t>
        </is>
      </c>
      <c r="N9" s="17" t="inlineStr"/>
      <c r="O9" s="16" t="inlineStr"/>
      <c r="P9" s="16" t="inlineStr"/>
      <c r="Q9" s="16" t="inlineStr"/>
    </row>
    <row r="10">
      <c r="A10" s="18" t="inlineStr">
        <is>
          <t>PRJ-008</t>
        </is>
      </c>
      <c r="B10" s="19" t="inlineStr">
        <is>
          <t>Lifecycle</t>
        </is>
      </c>
      <c r="C10" s="19" t="inlineStr">
        <is>
          <t>Illegal project transitions — exhaustive matrix rejected with error</t>
        </is>
      </c>
      <c r="D10" s="8" t="inlineStr">
        <is>
          <t>Negative</t>
        </is>
      </c>
      <c r="E10" s="8" t="inlineStr">
        <is>
          <t>High</t>
        </is>
      </c>
      <c r="F10" s="19" t="inlineStr">
        <is>
          <t>Projects in each of the five statuses. User has PROJECTS.PROJECT.MANAGE.</t>
        </is>
      </c>
      <c r="G10" s="19" t="inlineStr">
        <is>
          <t>1. DRAFT → ON_HOLD — reject.
2. DRAFT → COMPLETED — reject.
3. ACTIVE → DRAFT — reject.
4. ACTIVE → ACTIVE (self-transition) — reject.
5. ON_HOLD → ON_HOLD — reject.
6. COMPLETED → ACTIVE, ON_HOLD, COMPLETED, CANCELLED — all reject.
7. CANCELLED → any status — all reject.
8. Any state → DRAFT — reject.</t>
        </is>
      </c>
      <c r="H10" s="19" t="inlineStr">
        <is>
          <t>Each illegal combination</t>
        </is>
      </c>
      <c r="I10" s="19" t="inlineStr">
        <is>
          <t>Every listed call returns error (IllegalStateException surfaced in ApiResponse.errors). Project status unchanged in each case. The UI never offers these illegal buttons.</t>
        </is>
      </c>
      <c r="J10" s="19" t="inlineStr">
        <is>
          <t>/admin/projects/uid/:uid</t>
        </is>
      </c>
      <c r="K10" s="19" t="inlineStr">
        <is>
          <t>PROJECTS.PROJECT.MANAGE</t>
        </is>
      </c>
      <c r="L10" s="19" t="inlineStr"/>
      <c r="M10" s="8" t="inlineStr">
        <is>
          <t>Not Run</t>
        </is>
      </c>
      <c r="N10" s="8" t="inlineStr"/>
      <c r="O10" s="19" t="inlineStr"/>
      <c r="P10" s="19" t="inlineStr"/>
      <c r="Q10" s="19" t="inlineStr"/>
    </row>
    <row r="11">
      <c r="A11" s="15" t="inlineStr">
        <is>
          <t>PRJ-009</t>
        </is>
      </c>
      <c r="B11" s="16" t="inlineStr">
        <is>
          <t>Lifecycle</t>
        </is>
      </c>
      <c r="C11" s="16" t="inlineStr">
        <is>
          <t>Lifecycle buttons rendered per current status — correct set, aria-labels present</t>
        </is>
      </c>
      <c r="D11" s="17" t="inlineStr">
        <is>
          <t>Positive</t>
        </is>
      </c>
      <c r="E11" s="17" t="inlineStr">
        <is>
          <t>Medium</t>
        </is>
      </c>
      <c r="F11" s="16" t="inlineStr">
        <is>
          <t>Projects in each of DRAFT, ACTIVE, ON_HOLD, COMPLETED, CANCELLED. User has PROJECTS.PROJECT.MANAGE.</t>
        </is>
      </c>
      <c r="G11" s="16" t="inlineStr">
        <is>
          <t>1. DRAFT detail: verify only Activate and Cancel buttons are offered.
2. ACTIVE detail: verify Hold, Complete, Cancel are offered.
3. ON_HOLD detail: verify Resume, Complete, Cancel are offered.
4. COMPLETED and CANCELLED details: verify no lifecycle buttons are rendered.
5. For each button present, verify it has an aria-label ('Activate project', 'Hold project', etc.).</t>
        </is>
      </c>
      <c r="H11" s="16" t="inlineStr">
        <is>
          <t>n/a</t>
        </is>
      </c>
      <c r="I11" s="16" t="inlineStr">
        <is>
          <t>Exact button set per status. No Hold/Complete/Resume on DRAFT. Terminal states have no buttons. Each button has a descriptive aria-label. VIEW-only user sees no lifecycle buttons.</t>
        </is>
      </c>
      <c r="J11" s="16" t="inlineStr">
        <is>
          <t>/admin/projects/uid/:uid</t>
        </is>
      </c>
      <c r="K11" s="16" t="inlineStr">
        <is>
          <t>PROJECTS.PROJECT.MANAGE</t>
        </is>
      </c>
      <c r="L11" s="16" t="inlineStr"/>
      <c r="M11" s="17" t="inlineStr">
        <is>
          <t>Not Run</t>
        </is>
      </c>
      <c r="N11" s="17" t="inlineStr"/>
      <c r="O11" s="16" t="inlineStr"/>
      <c r="P11" s="16" t="inlineStr"/>
      <c r="Q11" s="16" t="inlineStr"/>
    </row>
    <row r="12">
      <c r="A12" s="18" t="inlineStr">
        <is>
          <t>PRJ-010</t>
        </is>
      </c>
      <c r="B12" s="19" t="inlineStr">
        <is>
          <t>Tasks</t>
        </is>
      </c>
      <c r="C12" s="19" t="inlineStr">
        <is>
          <t>Create project task — code, name, planned hours, billable flag</t>
        </is>
      </c>
      <c r="D12" s="8" t="inlineStr">
        <is>
          <t>Positive</t>
        </is>
      </c>
      <c r="E12" s="8" t="inlineStr">
        <is>
          <t>High</t>
        </is>
      </c>
      <c r="F12" s="19" t="inlineStr">
        <is>
          <t>An ACTIVE project. User has PROJECTS.TASK.MANAGE (scoped on project).</t>
        </is>
      </c>
      <c r="G12" s="19" t="inlineStr">
        <is>
          <t>1. Open the project detail; in the Tasks panel click Add Task.
2. Enter taskCode 'SITE-PREP', name 'Site preparation', plannedHours 40, billable = true.
3. Save.
4. Verify task appears in the panel with status ACTIVE.</t>
        </is>
      </c>
      <c r="H12" s="19" t="inlineStr">
        <is>
          <t>taskCode: SITE-PREP, name: Site preparation, plannedHours: 40, billable: true</t>
        </is>
      </c>
      <c r="I12" s="19" t="inlineStr">
        <is>
          <t>201 Created. ProjectTaskDto with status = ACTIVE, parentId = null. Task visible in panel. Audit PROJECT_TASK_CREATE. Blank taskCode or name returns client validation. taskCode &gt; 30 chars returns 400. name &gt; 160 chars returns 400.</t>
        </is>
      </c>
      <c r="J12" s="19" t="inlineStr">
        <is>
          <t>/admin/projects/uid/:uid</t>
        </is>
      </c>
      <c r="K12" s="19" t="inlineStr">
        <is>
          <t>PROJECTS.TASK.MANAGE</t>
        </is>
      </c>
      <c r="L12" s="19" t="inlineStr"/>
      <c r="M12" s="8" t="inlineStr">
        <is>
          <t>Not Run</t>
        </is>
      </c>
      <c r="N12" s="8" t="inlineStr"/>
      <c r="O12" s="19" t="inlineStr"/>
      <c r="P12" s="19" t="inlineStr"/>
      <c r="Q12" s="19" t="inlineStr"/>
    </row>
    <row r="13">
      <c r="A13" s="15" t="inlineStr">
        <is>
          <t>PRJ-011</t>
        </is>
      </c>
      <c r="B13" s="16" t="inlineStr">
        <is>
          <t>Tasks</t>
        </is>
      </c>
      <c r="C13" s="16" t="inlineStr">
        <is>
          <t>Task list — default filter ACTIVE; INACTIVE filter shows deactivated tasks; no paginator</t>
        </is>
      </c>
      <c r="D13" s="17" t="inlineStr">
        <is>
          <t>Positive</t>
        </is>
      </c>
      <c r="E13" s="17" t="inlineStr">
        <is>
          <t>Medium</t>
        </is>
      </c>
      <c r="F13" s="16" t="inlineStr">
        <is>
          <t>A project with at least 1 ACTIVE and 1 INACTIVE (deactivated) task. User has PROJECTS.TASK.VIEW.</t>
        </is>
      </c>
      <c r="G13" s="16" t="inlineStr">
        <is>
          <t>1. Open the project detail; Tasks panel shows ACTIVE tasks (default).
2. Verify no paginator on the tasks panel (it is a plain array, not paginated).
3. Via API, GET /api/v1/project-tasks/project/uid/{projectUid}?status=INACTIVE and verify the deactivated task is returned.</t>
        </is>
      </c>
      <c r="H13" s="16" t="inlineStr">
        <is>
          <t>Project with ACTIVE and INACTIVE tasks</t>
        </is>
      </c>
      <c r="I13" s="16" t="inlineStr">
        <is>
          <t>Default filter returns only ACTIVE tasks. INACTIVE filter returns deactivated tasks. No paginator rendered on the Tasks panel. Response is List&lt;ProjectTaskDto&gt; (no PageMeta).</t>
        </is>
      </c>
      <c r="J13" s="16" t="inlineStr">
        <is>
          <t>/admin/projects/uid/:uid</t>
        </is>
      </c>
      <c r="K13" s="16" t="inlineStr">
        <is>
          <t>PROJECTS.TASK.VIEW</t>
        </is>
      </c>
      <c r="L13" s="16" t="inlineStr"/>
      <c r="M13" s="17" t="inlineStr">
        <is>
          <t>Not Run</t>
        </is>
      </c>
      <c r="N13" s="17" t="inlineStr"/>
      <c r="O13" s="16" t="inlineStr"/>
      <c r="P13" s="16" t="inlineStr"/>
      <c r="Q13" s="16" t="inlineStr"/>
    </row>
    <row r="14">
      <c r="A14" s="18" t="inlineStr">
        <is>
          <t>PRJ-012</t>
        </is>
      </c>
      <c r="B14" s="19" t="inlineStr">
        <is>
          <t>Tasks</t>
        </is>
      </c>
      <c r="C14" s="19" t="inlineStr">
        <is>
          <t>Deactivate project task — soft-delete; INACTIVE excluded from default list</t>
        </is>
      </c>
      <c r="D14" s="8" t="inlineStr">
        <is>
          <t>Positive</t>
        </is>
      </c>
      <c r="E14" s="8" t="inlineStr">
        <is>
          <t>Medium</t>
        </is>
      </c>
      <c r="F14" s="19" t="inlineStr">
        <is>
          <t>A project with an ACTIVE task. User has PROJECTS.TASK.MANAGE.</t>
        </is>
      </c>
      <c r="G14" s="19" t="inlineStr">
        <is>
          <t>1. In the Tasks panel, click Deactivate on the task row.
2. Confirm the task drops out of the ACTIVE default list.
3. Verify the task is still retrievable via status=INACTIVE query.</t>
        </is>
      </c>
      <c r="H14" s="19" t="inlineStr">
        <is>
          <t>Task SITE-PREP from PRJ-010</t>
        </is>
      </c>
      <c r="I14" s="19" t="inlineStr">
        <is>
          <t>PATCH .../deactivate sets status = INACTIVE. Audit PROJECT_TASK_DEACTIVATE. Task absent from default list but retrievable via INACTIVE filter. No hard-delete path. Deactivating an already-INACTIVE task is idempotent.</t>
        </is>
      </c>
      <c r="J14" s="19" t="inlineStr">
        <is>
          <t>/admin/projects/uid/:uid</t>
        </is>
      </c>
      <c r="K14" s="19" t="inlineStr">
        <is>
          <t>PROJECTS.TASK.MANAGE</t>
        </is>
      </c>
      <c r="L14" s="19" t="inlineStr"/>
      <c r="M14" s="8" t="inlineStr">
        <is>
          <t>Not Run</t>
        </is>
      </c>
      <c r="N14" s="8" t="inlineStr"/>
      <c r="O14" s="19" t="inlineStr"/>
      <c r="P14" s="19" t="inlineStr"/>
      <c r="Q14" s="19" t="inlineStr"/>
    </row>
    <row r="15">
      <c r="A15" s="15" t="inlineStr">
        <is>
          <t>PRJ-013</t>
        </is>
      </c>
      <c r="B15" s="16" t="inlineStr">
        <is>
          <t>Timesheets</t>
        </is>
      </c>
      <c r="C15" s="16" t="inlineStr">
        <is>
          <t>Record timesheet at project level — no task; billable flag; hours validation</t>
        </is>
      </c>
      <c r="D15" s="17" t="inlineStr">
        <is>
          <t>Positive</t>
        </is>
      </c>
      <c r="E15" s="17" t="inlineStr">
        <is>
          <t>High</t>
        </is>
      </c>
      <c r="F15" s="16" t="inlineStr">
        <is>
          <t>An ACTIVE project. User has PROJECTS.TIMESHEET.RECORD (scoped on project).</t>
        </is>
      </c>
      <c r="G15" s="16" t="inlineStr">
        <is>
          <t>1. Open project detail; in Timesheets panel click Record Time.
2. Enter userId 7, workDate 2026-06-10, hours 6.5, billable = true.
3. Leave projectTaskUid blank (project-level timesheet).
4. Save.
5. Attempt with hours = 0 — expect 400.
6. Attempt with hours negative — expect 400.</t>
        </is>
      </c>
      <c r="H15" s="16" t="inlineStr">
        <is>
          <t>userId: 7, workDate: 2026-06-10, hours: 6.5, billable: true</t>
        </is>
      </c>
      <c r="I15" s="16" t="inlineStr">
        <is>
          <t>201 Created. ProjectTimesheetDto with projectTaskId = null, status = ACTIVE. hours = 0 returns 400 (@DecimalMin(0.01)). Negative hours returns 400. Missing userId/workDate returns 400. Audit PROJECT_TIMESHEET_RECORD.</t>
        </is>
      </c>
      <c r="J15" s="16" t="inlineStr">
        <is>
          <t>/admin/projects/uid/:uid</t>
        </is>
      </c>
      <c r="K15" s="16" t="inlineStr">
        <is>
          <t>PROJECTS.TIMESHEET.RECORD</t>
        </is>
      </c>
      <c r="L15" s="16" t="inlineStr"/>
      <c r="M15" s="17" t="inlineStr">
        <is>
          <t>Not Run</t>
        </is>
      </c>
      <c r="N15" s="17" t="inlineStr"/>
      <c r="O15" s="16" t="inlineStr"/>
      <c r="P15" s="16" t="inlineStr"/>
      <c r="Q15" s="16" t="inlineStr"/>
    </row>
    <row r="16">
      <c r="A16" s="18" t="inlineStr">
        <is>
          <t>PRJ-014</t>
        </is>
      </c>
      <c r="B16" s="19" t="inlineStr">
        <is>
          <t>Timesheets</t>
        </is>
      </c>
      <c r="C16" s="19" t="inlineStr">
        <is>
          <t>Record timesheet against a specific task — task chosen by name via picker; cross-project task rejected</t>
        </is>
      </c>
      <c r="D16" s="8" t="inlineStr">
        <is>
          <t>Positive</t>
        </is>
      </c>
      <c r="E16" s="8" t="inlineStr">
        <is>
          <t>Medium</t>
        </is>
      </c>
      <c r="F16" s="19" t="inlineStr">
        <is>
          <t>A project with an ACTIVE task. A second project with a different task. User has PROJECTS.TIMESHEET.RECORD.</t>
        </is>
      </c>
      <c r="G16" s="19" t="inlineStr">
        <is>
          <t>1. In the Record Time form, open the Task uid-picker and choose 'Site preparation' by name (hint = task code).
2. Fill other required fields and save.
3. Verify projectTaskId set to the chosen task's id.
4. Attempt to record a timesheet for project P1 using a task uid from project P2.</t>
        </is>
      </c>
      <c r="H16" s="19" t="inlineStr">
        <is>
          <t>Task: Site preparation; cross-project task uid from P2</t>
        </is>
      </c>
      <c r="I16" s="19" t="inlineStr">
        <is>
          <t>Timesheet with projectTaskId set. Task chosen by name, uid stored under the hood. Cross-project task returns 404 'Task not found or does not belong to project' (findByUidAndProjectId guard).</t>
        </is>
      </c>
      <c r="J16" s="19" t="inlineStr">
        <is>
          <t>/admin/projects/uid/:uid</t>
        </is>
      </c>
      <c r="K16" s="19" t="inlineStr">
        <is>
          <t>PROJECTS.TIMESHEET.RECORD</t>
        </is>
      </c>
      <c r="L16" s="19" t="inlineStr"/>
      <c r="M16" s="8" t="inlineStr">
        <is>
          <t>Not Run</t>
        </is>
      </c>
      <c r="N16" s="8" t="inlineStr"/>
      <c r="O16" s="19" t="inlineStr"/>
      <c r="P16" s="19" t="inlineStr"/>
      <c r="Q16" s="19" t="inlineStr"/>
    </row>
    <row r="17">
      <c r="A17" s="15" t="inlineStr">
        <is>
          <t>PRJ-015</t>
        </is>
      </c>
      <c r="B17" s="16" t="inlineStr">
        <is>
          <t>Timesheets</t>
        </is>
      </c>
      <c r="C17" s="16" t="inlineStr">
        <is>
          <t>Timesheets list is paginated — panel paginator visible with 21+ timesheets</t>
        </is>
      </c>
      <c r="D17" s="17" t="inlineStr">
        <is>
          <t>Positive</t>
        </is>
      </c>
      <c r="E17" s="17" t="inlineStr">
        <is>
          <t>Medium</t>
        </is>
      </c>
      <c r="F17" s="16" t="inlineStr">
        <is>
          <t>A project with at least 21 timesheets. User has PROJECTS.TIMESHEET.VIEW (scoped).</t>
        </is>
      </c>
      <c r="G17" s="16" t="inlineStr">
        <is>
          <t>1. Open the project detail; observe the Timesheets panel showing page 1 (size 20).
2. Use the paginator (FIRST, PREVIOUS, page numbers, NEXT, LAST) to navigate.
3. Verify the paginator self-hides when the project has only 1 page of timesheets.</t>
        </is>
      </c>
      <c r="H17" s="16" t="inlineStr">
        <is>
          <t>Project with 21+ timesheets</t>
        </is>
      </c>
      <c r="I17" s="16" t="inlineStr">
        <is>
          <t>ApiResponse with meta paginated. Paginator drives loadTimesheets(page). Self-hides at 1 page. Empty project: empty-state message. canTimesheetView = false: panel not shown.</t>
        </is>
      </c>
      <c r="J17" s="16" t="inlineStr">
        <is>
          <t>/admin/projects/uid/:uid</t>
        </is>
      </c>
      <c r="K17" s="16" t="inlineStr">
        <is>
          <t>PROJECTS.TIMESHEET.VIEW</t>
        </is>
      </c>
      <c r="L17" s="16" t="inlineStr"/>
      <c r="M17" s="17" t="inlineStr">
        <is>
          <t>Not Run</t>
        </is>
      </c>
      <c r="N17" s="17" t="inlineStr"/>
      <c r="O17" s="16" t="inlineStr"/>
      <c r="P17" s="16" t="inlineStr"/>
      <c r="Q17" s="16" t="inlineStr"/>
    </row>
    <row r="18">
      <c r="A18" s="18" t="inlineStr">
        <is>
          <t>PRJ-016</t>
        </is>
      </c>
      <c r="B18" s="19" t="inlineStr">
        <is>
          <t>Issue to Project</t>
        </is>
      </c>
      <c r="C18" s="19" t="inlineStr">
        <is>
          <t>Issue materials to project — GOODS product with avg cost; COGS GL posted; stock deducted</t>
        </is>
      </c>
      <c r="D18" s="8" t="inlineStr">
        <is>
          <t>Positive</t>
        </is>
      </c>
      <c r="E18" s="8" t="inlineStr">
        <is>
          <t>High</t>
        </is>
      </c>
      <c r="F18" s="19" t="inlineStr">
        <is>
          <t>ACTIVE project. At least 1 GOODS product with on-hand stock and established moving-average cost. GL keys (COGS/INVENTORY) configured. User has PROJECTS.ISSUE.CREATE.</t>
        </is>
      </c>
      <c r="G18" s="19" t="inlineStr">
        <is>
          <t>1. Open the ACTIVE project detail; in Issue-to-Job panel click Issue Materials.
2. Add a product line: pick 'Cement 50kg' by name, qty 20, reason 'phase 1 pour'.
3. Submit.
4. Verify success alert shows issueNumber (PJI-#### format).
5. Verify the stock movement ISSUE_TO_PROJECT was created with qty -20.
6. Verify a COGS GL entry (DR COGS / CR INVENTORY) was posted.</t>
        </is>
      </c>
      <c r="H18" s="19" t="inlineStr">
        <is>
          <t>product: Cement 50kg, qty: 20, reason: phase 1 pour</t>
        </is>
      </c>
      <c r="I18" s="19" t="inlineStr">
        <is>
          <t>IssueToProjectResultDto with issueNumber PJI-####, per-line value at moving average, totalValue, currency, cogsGlEntryUid. Stock movement posts -20 qty tagged with the projectId. GL DR COGS / CR INVENTORY posted. Product shown by name not uid.</t>
        </is>
      </c>
      <c r="J18" s="19" t="inlineStr">
        <is>
          <t>/admin/projects/uid/:uid</t>
        </is>
      </c>
      <c r="K18" s="19" t="inlineStr">
        <is>
          <t>PROJECTS.ISSUE.CREATE</t>
        </is>
      </c>
      <c r="L18" s="19" t="inlineStr"/>
      <c r="M18" s="8" t="inlineStr">
        <is>
          <t>Not Run</t>
        </is>
      </c>
      <c r="N18" s="8" t="inlineStr"/>
      <c r="O18" s="19" t="inlineStr"/>
      <c r="P18" s="19" t="inlineStr"/>
      <c r="Q18" s="19" t="inlineStr"/>
    </row>
    <row r="19">
      <c r="A19" s="15" t="inlineStr">
        <is>
          <t>PRJ-017</t>
        </is>
      </c>
      <c r="B19" s="16" t="inlineStr">
        <is>
          <t>Issue to Project</t>
        </is>
      </c>
      <c r="C19" s="16" t="inlineStr">
        <is>
          <t>Issue to non-taggable project rejected — DRAFT, COMPLETED, CANCELLED reject; ON_HOLD allows</t>
        </is>
      </c>
      <c r="D19" s="17" t="inlineStr">
        <is>
          <t>Negative</t>
        </is>
      </c>
      <c r="E19" s="17" t="inlineStr">
        <is>
          <t>High</t>
        </is>
      </c>
      <c r="F19" s="16" t="inlineStr">
        <is>
          <t>Projects in DRAFT, COMPLETED, CANCELLED, and ON_HOLD statuses. User has PROJECTS.ISSUE.CREATE.</t>
        </is>
      </c>
      <c r="G19" s="16" t="inlineStr">
        <is>
          <t>1. Attempt to issue materials to a DRAFT project via API (Issue panel hidden by UI isTaggable guard).
2. Attempt for COMPLETED project.
3. Attempt for CANCELLED project.
4. Issue to an ON_HOLD project — verify success.</t>
        </is>
      </c>
      <c r="H19" s="16" t="inlineStr">
        <is>
          <t>Product and qty for each attempt</t>
        </is>
      </c>
      <c r="I19" s="16" t="inlineStr">
        <is>
          <t>DRAFT/COMPLETED/CANCELLED: IllegalStateException 'Project ... is not open for tagging (status=...)'. No stock movement. No GL post. ON_HOLD: issue succeeds (allowsTagging() = true for ON_HOLD). UI Issue panel is hidden unless isTaggable.</t>
        </is>
      </c>
      <c r="J19" s="16" t="inlineStr">
        <is>
          <t>/admin/projects/uid/:uid</t>
        </is>
      </c>
      <c r="K19" s="16" t="inlineStr">
        <is>
          <t>PROJECTS.ISSUE.CREATE</t>
        </is>
      </c>
      <c r="L19" s="16" t="inlineStr"/>
      <c r="M19" s="17" t="inlineStr">
        <is>
          <t>Not Run</t>
        </is>
      </c>
      <c r="N19" s="17" t="inlineStr"/>
      <c r="O19" s="16" t="inlineStr"/>
      <c r="P19" s="16" t="inlineStr"/>
      <c r="Q19" s="16" t="inlineStr"/>
    </row>
    <row r="20">
      <c r="A20" s="18" t="inlineStr">
        <is>
          <t>PRJ-018</t>
        </is>
      </c>
      <c r="B20" s="19" t="inlineStr">
        <is>
          <t>Issue to Project</t>
        </is>
      </c>
      <c r="C20" s="19" t="inlineStr">
        <is>
          <t>Issue with null avg cost — qty still deducted; COGS leg skipped; line value = 0</t>
        </is>
      </c>
      <c r="D20" s="8" t="inlineStr">
        <is>
          <t>Edge</t>
        </is>
      </c>
      <c r="E20" s="8" t="inlineStr">
        <is>
          <t>Medium</t>
        </is>
      </c>
      <c r="F20" s="19" t="inlineStr">
        <is>
          <t>ACTIVE project. A GOODS product with on-hand qty but avg_cost not yet established (no prior receipt valuation). User has PROJECTS.ISSUE.CREATE.</t>
        </is>
      </c>
      <c r="G20" s="19" t="inlineStr">
        <is>
          <t>1. Issue qty 3 of the product with no established avg cost.
2. Verify the stock movement was created with -3 qty.
3. Verify the COGS GL leg was skipped (WARN logged).
4. Verify the line value = 0 and cogsGlEntryUid may be null.</t>
        </is>
      </c>
      <c r="H20" s="19" t="inlineStr">
        <is>
          <t>product: New SKU (no avg cost), qty: 3</t>
        </is>
      </c>
      <c r="I20" s="19" t="inlineStr">
        <is>
          <t>Per ADR-0020: costIssue returns null → COGS leg skipped (anomaly/WARN logged). Stock movement still posts -3 qty. Line value = 0. No transaction rollback. Mixed batch: costed lines form the COGS leg; zero-cost lines are excluded from it.</t>
        </is>
      </c>
      <c r="J20" s="19" t="inlineStr">
        <is>
          <t>/admin/projects/uid/:uid</t>
        </is>
      </c>
      <c r="K20" s="19" t="inlineStr">
        <is>
          <t>PROJECTS.ISSUE.CREATE</t>
        </is>
      </c>
      <c r="L20" s="19" t="inlineStr"/>
      <c r="M20" s="8" t="inlineStr">
        <is>
          <t>Not Run</t>
        </is>
      </c>
      <c r="N20" s="8" t="inlineStr"/>
      <c r="O20" s="19" t="inlineStr"/>
      <c r="P20" s="19" t="inlineStr"/>
      <c r="Q20" s="19" t="inlineStr"/>
    </row>
    <row r="21">
      <c r="A21" s="15" t="inlineStr">
        <is>
          <t>PRJ-019</t>
        </is>
      </c>
      <c r="B21" s="16" t="inlineStr">
        <is>
          <t>Issue to Project</t>
        </is>
      </c>
      <c r="C21" s="16" t="inlineStr">
        <is>
          <t>Issue validation — empty lines, unknown product, cross-tenant project, negative qty</t>
        </is>
      </c>
      <c r="D21" s="17" t="inlineStr">
        <is>
          <t>Negative</t>
        </is>
      </c>
      <c r="E21" s="17" t="inlineStr">
        <is>
          <t>Medium</t>
        </is>
      </c>
      <c r="F21" s="16" t="inlineStr">
        <is>
          <t>ACTIVE project in company A. A company B project uid. User has PROJECTS.ISSUE.CREATE.</t>
        </is>
      </c>
      <c r="G21" s="16" t="inlineStr">
        <is>
          <t>1. POST with empty lines array — expect 400 (@NotEmpty).
2. POST with blank productUid in a line — expect 400 (@NotBlank).
3. POST with null qty in a line — expect 400 (@NotNull).
4. POST with unknown product uid — expect 404 'Product not found'.
5. POST with company-B project uid — expect 404 'Project not found or belongs to a different company'.
6. POST with negative qty — verify deduction magnitude is positive (service takes qty.abs()).</t>
        </is>
      </c>
      <c r="H21" s="16" t="inlineStr">
        <is>
          <t>Various invalid inputs as described</t>
        </is>
      </c>
      <c r="I21" s="16" t="inlineStr">
        <is>
          <t>Each case returns the stated error with no stock/GL side effects. Negative qty: the stock deduction still uses the absolute value (positive magnitude).</t>
        </is>
      </c>
      <c r="J21" s="16" t="inlineStr">
        <is>
          <t>/api/v1/project-issues</t>
        </is>
      </c>
      <c r="K21" s="16" t="inlineStr">
        <is>
          <t>PROJECTS.ISSUE.CREATE</t>
        </is>
      </c>
      <c r="L21" s="16" t="inlineStr"/>
      <c r="M21" s="17" t="inlineStr">
        <is>
          <t>Not Run</t>
        </is>
      </c>
      <c r="N21" s="17" t="inlineStr"/>
      <c r="O21" s="16" t="inlineStr"/>
      <c r="P21" s="16" t="inlineStr"/>
      <c r="Q21" s="16" t="inlineStr"/>
    </row>
    <row r="22">
      <c r="A22" s="18" t="inlineStr">
        <is>
          <t>PRJ-020</t>
        </is>
      </c>
      <c r="B22" s="19" t="inlineStr">
        <is>
          <t>Costing</t>
        </is>
      </c>
      <c r="C22" s="19" t="inlineStr">
        <is>
          <t>Project P&amp;L report — revenue, cost-by-type, margin, WIP, recon balanced</t>
        </is>
      </c>
      <c r="D22" s="8" t="inlineStr">
        <is>
          <t>Positive</t>
        </is>
      </c>
      <c r="E22" s="8" t="inlineStr">
        <is>
          <t>High</t>
        </is>
      </c>
      <c r="F22" s="19" t="inlineStr">
        <is>
          <t>ACTIVE project with at least 1 issue-to-project (MATERIAL cost) and a tagged INCOME posting. Budget set on the project. User has PROJECTS.COSTING.VIEW.</t>
        </is>
      </c>
      <c r="G22" s="19" t="inlineStr">
        <is>
          <t>1. Open the project detail and click 'View P&amp;L' (visible when canCosting).
2. Observe: revenue, totalCost, costByType rows (MATERIAL etc.), margin, marginPct, budget, budgetVariance, wip, and the recon bar.
3. Verify recon.balanced = true.
4. Verify wip = max(0, totalCost - revenue).
5. Attempt to view P&amp;L for a cross-tenant project.</t>
        </is>
      </c>
      <c r="H22" s="19" t="inlineStr">
        <is>
          <t>Project with seeded MATERIAL cost and revenue posting</t>
        </is>
      </c>
      <c r="I22" s="19" t="inlineStr">
        <is>
          <t>ProjectPnlDto returned. costByType shows MATERIAL row. wip = max(0, cost - revenue). recon.balanced = true (mismatch = bug). Zero-posting project: all zeros, recon still balanced. Cross-tenant project: 403 scoped denied. COSTING.VIEW absent: 'View P&amp;L' button hidden, API 403.</t>
        </is>
      </c>
      <c r="J22" s="19" t="inlineStr">
        <is>
          <t>/admin/projects/uid/:uid</t>
        </is>
      </c>
      <c r="K22" s="19" t="inlineStr">
        <is>
          <t>PROJECTS.COSTING.VIEW</t>
        </is>
      </c>
      <c r="L22" s="19" t="inlineStr"/>
      <c r="M22" s="8" t="inlineStr">
        <is>
          <t>Not Run</t>
        </is>
      </c>
      <c r="N22" s="8" t="inlineStr"/>
      <c r="O22" s="19" t="inlineStr"/>
      <c r="P22" s="19" t="inlineStr"/>
      <c r="Q22" s="19" t="inlineStr"/>
    </row>
    <row r="23">
      <c r="A23" s="15" t="inlineStr">
        <is>
          <t>PRJ-021</t>
        </is>
      </c>
      <c r="B23" s="16" t="inlineStr">
        <is>
          <t>Costing</t>
        </is>
      </c>
      <c r="C23" s="16" t="inlineStr">
        <is>
          <t>WIP report — cross-project totals, four states, no paginator; company scoped</t>
        </is>
      </c>
      <c r="D23" s="17" t="inlineStr">
        <is>
          <t>Positive</t>
        </is>
      </c>
      <c r="E23" s="17" t="inlineStr">
        <is>
          <t>High</t>
        </is>
      </c>
      <c r="F23" s="16" t="inlineStr">
        <is>
          <t>At least 2 projects with cost + billing activity in the company. User has PROJECTS.COSTING.VIEW.</t>
        </is>
      </c>
      <c r="G23" s="16" t="inlineStr">
        <is>
          <t>1. Navigate to /admin/projects/wip-report.
2. Select the company and click Load Report.
3. Verify per-project rows (project #, name, cost incurred, billed, WIP).
4. Verify footer totals (sum of cost incurred, billed, WIP).
5. Confirm no paginator is present (response is a plain list, not paginated).
6. Test NO-PERMISSION user: forbidden state distinct from error state.</t>
        </is>
      </c>
      <c r="H23" s="16" t="inlineStr">
        <is>
          <t>Company with 2+ active projects having cost and billing</t>
        </is>
      </c>
      <c r="I23" s="16" t="inlineStr">
        <is>
          <t>ApiResponse&lt;List&lt;ProjectWipRowDto&gt;&gt;. wip = max(0, costIncurred - billed) per row. Footer totals match. No paginator rendered. Company with no projects: empty state (isEmpty). 403 mid-session: forbidden state distinct from error. COSTING.VIEW absent: route guard blocks.</t>
        </is>
      </c>
      <c r="J23" s="16" t="inlineStr">
        <is>
          <t>/admin/projects/wip-report</t>
        </is>
      </c>
      <c r="K23" s="16" t="inlineStr">
        <is>
          <t>PROJECTS.COSTING.VIEW</t>
        </is>
      </c>
      <c r="L23" s="16" t="inlineStr"/>
      <c r="M23" s="17" t="inlineStr">
        <is>
          <t>Not Run</t>
        </is>
      </c>
      <c r="N23" s="17" t="inlineStr"/>
      <c r="O23" s="16" t="inlineStr"/>
      <c r="P23" s="16" t="inlineStr"/>
      <c r="Q23" s="16" t="inlineStr"/>
    </row>
    <row r="24">
      <c r="A24" s="18" t="inlineStr">
        <is>
          <t>PRJ-022</t>
        </is>
      </c>
      <c r="B24" s="19" t="inlineStr">
        <is>
          <t>Cross-cutting</t>
        </is>
      </c>
      <c r="C24" s="19" t="inlineStr">
        <is>
          <t>Multi-tenant isolation — company A cannot see company B projects, tasks, timesheets, costs</t>
        </is>
      </c>
      <c r="D24" s="8" t="inlineStr">
        <is>
          <t>Negative</t>
        </is>
      </c>
      <c r="E24" s="8" t="inlineStr">
        <is>
          <t>High</t>
        </is>
      </c>
      <c r="F24" s="19" t="inlineStr">
        <is>
          <t>Company A and company B each with projects, tasks, timesheets, and cost postings. User is company-A ORG_ADMIN.</t>
        </is>
      </c>
      <c r="G24" s="19" t="inlineStr">
        <is>
          <t>1. GET /projects?companyId={B} — expect 403 (ScopeGuard.assertCanActIn).
2. GET /projects/uid/{B-project} — expect 403 or not found.
3. POST /project-issues with company-B project uid — expect denied.
4. GET /project-costing/wip?companyId={B} — expect 403.</t>
        </is>
      </c>
      <c r="H24" s="19" t="inlineStr">
        <is>
          <t>Company B companyId and project uid</t>
        </is>
      </c>
      <c r="I24" s="19" t="inlineStr">
        <is>
          <t>All cross-tenant access denied. Company A only sees its own data. rootadmin can cross tenants (positive control — validates isolation is for non-superusers).</t>
        </is>
      </c>
      <c r="J24" s="19" t="inlineStr">
        <is>
          <t>/admin/projects</t>
        </is>
      </c>
      <c r="K24" s="19" t="inlineStr">
        <is>
          <t>PROJECTS.PROJECT.VIEW</t>
        </is>
      </c>
      <c r="L24" s="19" t="inlineStr"/>
      <c r="M24" s="8" t="inlineStr">
        <is>
          <t>Not Run</t>
        </is>
      </c>
      <c r="N24" s="8" t="inlineStr"/>
      <c r="O24" s="19" t="inlineStr"/>
      <c r="P24" s="19" t="inlineStr"/>
      <c r="Q24" s="19" t="inlineStr"/>
    </row>
    <row r="25">
      <c r="A25" s="15" t="inlineStr">
        <is>
          <t>PRJ-023</t>
        </is>
      </c>
      <c r="B25" s="16" t="inlineStr">
        <is>
          <t>Cross-cutting</t>
        </is>
      </c>
      <c r="C25" s="16" t="inlineStr">
        <is>
          <t>RBAC matrix — each PROJECTS action denied when the specific permission is absent</t>
        </is>
      </c>
      <c r="D25" s="17" t="inlineStr">
        <is>
          <t>Permission</t>
        </is>
      </c>
      <c r="E25" s="17" t="inlineStr">
        <is>
          <t>High</t>
        </is>
      </c>
      <c r="F25" s="16" t="inlineStr">
        <is>
          <t>Custom roles, one per row, each granted all PROJECTS.* except the one under test.</t>
        </is>
      </c>
      <c r="G25" s="16" t="inlineStr">
        <is>
          <t>1. GET /projects without PROJECTS.PROJECT.VIEW — 403.
2. POST /projects without PROJECTS.PROJECT.CREATE — 403; UI New Project hidden.
3. PUT /projects/uid/{uid} without PROJECTS.PROJECT.MANAGE — 403; save disabled.
4. PATCH .../status without PROJECTS.PROJECT.MANAGE — 403; lifecycle buttons absent.
5. GET /project-tasks/... without PROJECTS.TASK.VIEW — 403; tasks panel hidden.
6. POST /project-tasks/... without PROJECTS.TASK.MANAGE — 403; Add Task hidden.
7. GET /project-timesheets/... without PROJECTS.TIMESHEET.VIEW — 403; panel hidden.
8. POST /project-timesheets/... without PROJECTS.TIMESHEET.RECORD — 403; Record Time hidden.
9. POST /project-issues without PROJECTS.ISSUE.CREATE — 403; Issue Materials hidden.
10. GET /project-costing/.../pnl without PROJECTS.COSTING.VIEW — 403; View P&amp;L hidden.</t>
        </is>
      </c>
      <c r="H25" s="16" t="inlineStr">
        <is>
          <t>Custom roles per assertion</t>
        </is>
      </c>
      <c r="I25" s="16" t="inlineStr">
        <is>
          <t>Each call returns 403. Corresponding UI control is hidden (canCreate, canManage, canTaskManage, canTimesheetRecord, canTimesheetView, canIssue, canCosting). User holding ONLY the required permission succeeds on the guarded endpoint.</t>
        </is>
      </c>
      <c r="J25" s="16" t="inlineStr">
        <is>
          <t>/admin/projects</t>
        </is>
      </c>
      <c r="K25" s="16" t="inlineStr">
        <is>
          <t>PROJECTS.PROJECT.VIEW</t>
        </is>
      </c>
      <c r="L25" s="16" t="inlineStr"/>
      <c r="M25" s="17" t="inlineStr">
        <is>
          <t>Not Run</t>
        </is>
      </c>
      <c r="N25" s="17" t="inlineStr"/>
      <c r="O25" s="16" t="inlineStr"/>
      <c r="P25" s="16" t="inlineStr"/>
      <c r="Q25" s="16" t="inlineStr"/>
    </row>
    <row r="26">
      <c r="A26" s="18" t="inlineStr">
        <is>
          <t>PRJ-024</t>
        </is>
      </c>
      <c r="B26" s="19" t="inlineStr">
        <is>
          <t>Cross-cutting</t>
        </is>
      </c>
      <c r="C26" s="19" t="inlineStr">
        <is>
          <t>VIEW-only user — all read panels visible; all mutating controls hidden</t>
        </is>
      </c>
      <c r="D26" s="8" t="inlineStr">
        <is>
          <t>Permission</t>
        </is>
      </c>
      <c r="E26" s="8" t="inlineStr">
        <is>
          <t>Medium</t>
        </is>
      </c>
      <c r="F26" s="19" t="inlineStr">
        <is>
          <t>CUSTOM role = PROJECTS.PROJECT.VIEW + PROJECTS.TASK.VIEW + PROJECTS.TIMESHEET.VIEW + PROJECTS.COSTING.VIEW. A project with tasks and timesheets seeded.</t>
        </is>
      </c>
      <c r="G26" s="19" t="inlineStr">
        <is>
          <t>1. Log in as the VIEW-only user.
2. Navigate to /admin/projects — list visible, New Project button absent.
3. Open the project detail — edit save, lifecycle buttons, Add Task, Record Time, Issue Materials all absent.
4. Verify Tasks, Timesheets, and P&amp;L panels are visible and readable.
5. Verify direct API mutations (PUT, POST, PATCH) all return 403.</t>
        </is>
      </c>
      <c r="H26" s="19" t="inlineStr">
        <is>
          <t>VIEW-only role as described</t>
        </is>
      </c>
      <c r="I26" s="19" t="inlineStr">
        <is>
          <t>All read panels render correctly. Every mutating affordance is absent. Direct API mutations return 403. Axe scan clean on the read-only detail page.</t>
        </is>
      </c>
      <c r="J26" s="19" t="inlineStr">
        <is>
          <t>/admin/projects/uid/:uid</t>
        </is>
      </c>
      <c r="K26" s="19" t="inlineStr">
        <is>
          <t>PROJECTS.PROJECT.VIEW</t>
        </is>
      </c>
      <c r="L26" s="19" t="inlineStr"/>
      <c r="M26" s="8" t="inlineStr">
        <is>
          <t>Not Run</t>
        </is>
      </c>
      <c r="N26" s="8" t="inlineStr"/>
      <c r="O26" s="19" t="inlineStr"/>
      <c r="P26" s="19" t="inlineStr"/>
      <c r="Q26" s="19" t="inlineStr"/>
    </row>
    <row r="27">
      <c r="A27" s="15" t="inlineStr">
        <is>
          <t>PRJ-025</t>
        </is>
      </c>
      <c r="B27" s="16" t="inlineStr">
        <is>
          <t>Cross-cutting</t>
        </is>
      </c>
      <c r="C27" s="16" t="inlineStr">
        <is>
          <t>Branch scoping — acting in an unassigned branch denied for project create and issue</t>
        </is>
      </c>
      <c r="D27" s="17" t="inlineStr">
        <is>
          <t>Negative</t>
        </is>
      </c>
      <c r="E27" s="17" t="inlineStr">
        <is>
          <t>Medium</t>
        </is>
      </c>
      <c r="F27" s="16" t="inlineStr">
        <is>
          <t>Multi-branch company. User assigned to branch X only. User has PROJECTS.PROJECT.CREATE and PROJECTS.ISSUE.CREATE.</t>
        </is>
      </c>
      <c r="G27" s="16" t="inlineStr">
        <is>
          <t>1. Set X-Branch-Uid to branch X (assigned) and POST /projects — succeeds.
2. Set X-Branch-Uid to branch Y (unassigned) and POST /projects — denied.
3. Set X-Branch-Uid to branch Y and POST /project-issues — denied.</t>
        </is>
      </c>
      <c r="H27" s="16" t="inlineStr">
        <is>
          <t>Branch X (assigned), Branch Y (unassigned)</t>
        </is>
      </c>
      <c r="I27" s="16" t="inlineStr">
        <is>
          <t>Acting in X succeeds. Acting in Y returns denied error (scope guard / branch enforcement). User assigned to ALL branches succeeds in any branch. Default vs non-default assigned branches both work when assigned.</t>
        </is>
      </c>
      <c r="J27" s="16" t="inlineStr">
        <is>
          <t>/admin/projects</t>
        </is>
      </c>
      <c r="K27" s="16" t="inlineStr">
        <is>
          <t>PROJECTS.PROJECT.CREATE</t>
        </is>
      </c>
      <c r="L27" s="16" t="inlineStr"/>
      <c r="M27" s="17" t="inlineStr">
        <is>
          <t>Not Run</t>
        </is>
      </c>
      <c r="N27" s="17" t="inlineStr"/>
      <c r="O27" s="16" t="inlineStr"/>
      <c r="P27" s="16" t="inlineStr"/>
      <c r="Q27" s="16" t="inlineStr"/>
    </row>
    <row r="28">
      <c r="A28" s="18" t="inlineStr">
        <is>
          <t>PRJ-026</t>
        </is>
      </c>
      <c r="B28" s="19" t="inlineStr">
        <is>
          <t>Cross-cutting</t>
        </is>
      </c>
      <c r="C28" s="19" t="inlineStr">
        <is>
          <t>Accessibility sweep — project list, detail, and WIP report screens</t>
        </is>
      </c>
      <c r="D28" s="8" t="inlineStr">
        <is>
          <t>Positive</t>
        </is>
      </c>
      <c r="E28" s="8" t="inlineStr">
        <is>
          <t>Medium</t>
        </is>
      </c>
      <c r="F28" s="19" t="inlineStr">
        <is>
          <t>A populated project with tasks, timesheets, and costs. User has PROJECTS.PROJECT.VIEW and PROJECTS.COSTING.VIEW.</t>
        </is>
      </c>
      <c r="G28" s="19" t="inlineStr">
        <is>
          <t>1. Run axe scan on /admin/projects (list).
2. Run axe scan on /admin/projects/uid/:uid (detail).
3. Run axe scan on /admin/projects/wip-report.
4. Keyboard-navigate the list table, paginator, lifecycle buttons, and uid-pickers.
5. Verify tables have captions/scope, pickers and lifecycle buttons have aria-labels.
6. Verify error and empty states are also axe-clean.</t>
        </is>
      </c>
      <c r="H28" s="19" t="inlineStr">
        <is>
          <t>n/a</t>
        </is>
      </c>
      <c r="I28" s="19" t="inlineStr">
        <is>
          <t>Axe-clean WCAG 2.1 AA on all three screens. All controls keyboard-operable. No raw uid visible anywhere on screen (uid only in URL path). Paginator keyboard-operable on list and timesheets panel.</t>
        </is>
      </c>
      <c r="J28" s="19" t="inlineStr">
        <is>
          <t>/admin/projects</t>
        </is>
      </c>
      <c r="K28" s="19" t="inlineStr">
        <is>
          <t>PROJECTS.PROJECT.VIEW</t>
        </is>
      </c>
      <c r="L28" s="19" t="inlineStr"/>
      <c r="M28" s="8" t="inlineStr">
        <is>
          <t>Not Run</t>
        </is>
      </c>
      <c r="N28" s="8" t="inlineStr"/>
      <c r="O28" s="19" t="inlineStr"/>
      <c r="P28" s="19" t="inlineStr"/>
      <c r="Q28" s="19" t="inlineStr"/>
    </row>
  </sheetData>
  <autoFilter ref="A2:Q28"/>
  <mergeCells count="1">
    <mergeCell ref="A1:Q1"/>
  </mergeCells>
  <dataValidations count="4">
    <dataValidation sqref="D3:D28" showDropDown="0" showInputMessage="0" showErrorMessage="0" allowBlank="1" type="list">
      <formula1>"Positive,Negative,Permission,Edge"</formula1>
    </dataValidation>
    <dataValidation sqref="E3:E28" showDropDown="0" showInputMessage="0" showErrorMessage="0" allowBlank="1" type="list">
      <formula1>"High,Medium,Low"</formula1>
    </dataValidation>
    <dataValidation sqref="M3:M28" showDropDown="0" showInputMessage="0" showErrorMessage="0" allowBlank="1" type="list">
      <formula1>"Not Run,Pass,Fail,Blocked,N/A"</formula1>
    </dataValidation>
    <dataValidation sqref="N3:N28"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2026-06-27T09:23:51Z</dcterms:created>
  <dcterms:modified xmlns:dcterms="http://purl.org/dc/terms/" xmlns:xsi="http://www.w3.org/2001/XMLSchema-instance" xsi:type="dcterms:W3CDTF">2026-06-27T09:23:51Z</dcterms:modified>
</cp:coreProperties>
</file>